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ny\File Factory Assets\"/>
    </mc:Choice>
  </mc:AlternateContent>
  <xr:revisionPtr revIDLastSave="0" documentId="8_{2D704021-41D6-41F4-B1AC-81882A77828A}" xr6:coauthVersionLast="47" xr6:coauthVersionMax="47" xr10:uidLastSave="{00000000-0000-0000-0000-000000000000}"/>
  <bookViews>
    <workbookView xWindow="-110" yWindow="-110" windowWidth="38620" windowHeight="21820" activeTab="4" xr2:uid="{00000000-000D-0000-FFFF-FFFF00000000}"/>
  </bookViews>
  <sheets>
    <sheet name="Content Calendar" sheetId="1" r:id="rId1"/>
    <sheet name="Video Analytics" sheetId="2" r:id="rId2"/>
    <sheet name="Revenue Streams" sheetId="3" r:id="rId3"/>
    <sheet name="Audience Insights" sheetId="4" r:id="rId4"/>
    <sheet name="Growth Strategy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3" i="5"/>
  <c r="F12" i="5"/>
  <c r="F11" i="5"/>
  <c r="F10" i="5"/>
  <c r="F9" i="5"/>
  <c r="F8" i="5"/>
  <c r="F7" i="5"/>
  <c r="H34" i="4"/>
  <c r="H33" i="4"/>
  <c r="H32" i="4"/>
  <c r="H31" i="4"/>
  <c r="H30" i="4"/>
  <c r="H29" i="4"/>
  <c r="H28" i="4"/>
  <c r="N23" i="4"/>
  <c r="N22" i="4"/>
  <c r="N21" i="4"/>
  <c r="N20" i="4"/>
  <c r="N19" i="4"/>
  <c r="P18" i="4"/>
  <c r="N18" i="4"/>
  <c r="O18" i="4" s="1"/>
  <c r="K19" i="4" s="1"/>
  <c r="F33" i="3"/>
  <c r="E33" i="3"/>
  <c r="I33" i="3" s="1"/>
  <c r="F32" i="3"/>
  <c r="E32" i="3"/>
  <c r="I32" i="3" s="1"/>
  <c r="I31" i="3"/>
  <c r="G31" i="3"/>
  <c r="F31" i="3"/>
  <c r="E31" i="3"/>
  <c r="I30" i="3"/>
  <c r="G30" i="3"/>
  <c r="F30" i="3"/>
  <c r="E30" i="3"/>
  <c r="F29" i="3"/>
  <c r="E29" i="3"/>
  <c r="I29" i="3" s="1"/>
  <c r="M28" i="3"/>
  <c r="Q27" i="3"/>
  <c r="Q26" i="3"/>
  <c r="Q25" i="3"/>
  <c r="Q24" i="3"/>
  <c r="J24" i="3"/>
  <c r="I24" i="3"/>
  <c r="H24" i="3"/>
  <c r="G24" i="3"/>
  <c r="F24" i="3"/>
  <c r="E24" i="3"/>
  <c r="D24" i="3"/>
  <c r="C24" i="3"/>
  <c r="Q23" i="3"/>
  <c r="Q22" i="3"/>
  <c r="M29" i="3" s="1"/>
  <c r="M17" i="3"/>
  <c r="M16" i="3"/>
  <c r="M15" i="3"/>
  <c r="E15" i="3"/>
  <c r="D15" i="3"/>
  <c r="C15" i="3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F7" i="3"/>
  <c r="F15" i="3" s="1"/>
  <c r="G8" i="3" s="1"/>
  <c r="E35" i="2"/>
  <c r="E34" i="2"/>
  <c r="E33" i="2"/>
  <c r="D36" i="2" s="1"/>
  <c r="E32" i="2"/>
  <c r="E31" i="2"/>
  <c r="E30" i="2"/>
  <c r="Q19" i="2"/>
  <c r="Q18" i="2"/>
  <c r="Q17" i="2"/>
  <c r="Q16" i="2"/>
  <c r="L16" i="2"/>
  <c r="K16" i="2"/>
  <c r="Q15" i="2"/>
  <c r="L15" i="2"/>
  <c r="K15" i="2"/>
  <c r="L14" i="2"/>
  <c r="K14" i="2"/>
  <c r="L13" i="2"/>
  <c r="K13" i="2"/>
  <c r="R12" i="2"/>
  <c r="L12" i="2"/>
  <c r="K12" i="2"/>
  <c r="R11" i="2"/>
  <c r="L11" i="2"/>
  <c r="K11" i="2"/>
  <c r="R10" i="2"/>
  <c r="L10" i="2"/>
  <c r="K10" i="2"/>
  <c r="R9" i="2"/>
  <c r="L9" i="2"/>
  <c r="K9" i="2"/>
  <c r="R8" i="2"/>
  <c r="L8" i="2"/>
  <c r="K8" i="2"/>
  <c r="R7" i="2"/>
  <c r="L7" i="2"/>
  <c r="K7" i="2"/>
  <c r="F29" i="1"/>
  <c r="E29" i="1"/>
  <c r="F28" i="1"/>
  <c r="E28" i="1"/>
  <c r="F27" i="1"/>
  <c r="E27" i="1"/>
  <c r="P26" i="1"/>
  <c r="N26" i="1"/>
  <c r="L26" i="1"/>
  <c r="J26" i="1"/>
  <c r="F26" i="1"/>
  <c r="E26" i="1"/>
  <c r="F25" i="1"/>
  <c r="E25" i="1"/>
  <c r="F24" i="1"/>
  <c r="E24" i="1"/>
  <c r="O19" i="4" l="1"/>
  <c r="K20" i="4" s="1"/>
  <c r="O20" i="4" s="1"/>
  <c r="K21" i="4" s="1"/>
  <c r="O21" i="4" s="1"/>
  <c r="K22" i="4" s="1"/>
  <c r="P19" i="4"/>
  <c r="P20" i="4"/>
  <c r="P21" i="4"/>
  <c r="G7" i="3"/>
  <c r="G32" i="3"/>
  <c r="G29" i="3"/>
  <c r="G33" i="3"/>
  <c r="O22" i="4" l="1"/>
  <c r="K23" i="4" s="1"/>
  <c r="P22" i="4"/>
  <c r="O23" i="4" l="1"/>
  <c r="P23" i="4"/>
  <c r="P21" i="1"/>
  <c r="P22" i="1"/>
  <c r="P20" i="1"/>
  <c r="P19" i="1"/>
  <c r="P18" i="1"/>
</calcChain>
</file>

<file path=xl/sharedStrings.xml><?xml version="1.0" encoding="utf-8"?>
<sst xmlns="http://schemas.openxmlformats.org/spreadsheetml/2006/main" count="671" uniqueCount="492">
  <si>
    <t>📅 CONTENT CALENDAR COMMAND CENTER</t>
  </si>
  <si>
    <t>Plan • Schedule • Dominate</t>
  </si>
  <si>
    <t>📆 JANUARY 2025</t>
  </si>
  <si>
    <t>📋 THIS WEEK'S PIPELINE</t>
  </si>
  <si>
    <t>Mon</t>
  </si>
  <si>
    <t>Tue</t>
  </si>
  <si>
    <t>Wed</t>
  </si>
  <si>
    <t>Thu</t>
  </si>
  <si>
    <t>Fri</t>
  </si>
  <si>
    <t>Sat</t>
  </si>
  <si>
    <t>Sun</t>
  </si>
  <si>
    <t>Day</t>
  </si>
  <si>
    <t>Platform</t>
  </si>
  <si>
    <t>Content Type</t>
  </si>
  <si>
    <t>Title</t>
  </si>
  <si>
    <t>Status</t>
  </si>
  <si>
    <t>Priority</t>
  </si>
  <si>
    <t>Views Goal</t>
  </si>
  <si>
    <t>Monday</t>
  </si>
  <si>
    <t>YouTube</t>
  </si>
  <si>
    <t>Tutorial</t>
  </si>
  <si>
    <t>Advanced Excel Tips</t>
  </si>
  <si>
    <t>🟢 Ready</t>
  </si>
  <si>
    <t>🔥 High</t>
  </si>
  <si>
    <t>6
🎬</t>
  </si>
  <si>
    <t>8
📸</t>
  </si>
  <si>
    <t>10
🎙️</t>
  </si>
  <si>
    <t>Tuesday</t>
  </si>
  <si>
    <t>Instagram</t>
  </si>
  <si>
    <t>Reel</t>
  </si>
  <si>
    <t>Behind the Scenes</t>
  </si>
  <si>
    <t>🟡 Editing</t>
  </si>
  <si>
    <t>⚡ Medium</t>
  </si>
  <si>
    <t>13
🎬</t>
  </si>
  <si>
    <t>15
📱</t>
  </si>
  <si>
    <t>17
💼</t>
  </si>
  <si>
    <t>Wednesday</t>
  </si>
  <si>
    <t>TikTok</t>
  </si>
  <si>
    <t>Short</t>
  </si>
  <si>
    <t>Quick Tip #45</t>
  </si>
  <si>
    <t>20
🎬</t>
  </si>
  <si>
    <t>22
📸</t>
  </si>
  <si>
    <t>24
🎙️</t>
  </si>
  <si>
    <t>Thursday</t>
  </si>
  <si>
    <t>Podcast</t>
  </si>
  <si>
    <t>Episode</t>
  </si>
  <si>
    <t>Interview: Tech CEO</t>
  </si>
  <si>
    <t>🔴 Recording</t>
  </si>
  <si>
    <t>27
🎬</t>
  </si>
  <si>
    <t>29
📱</t>
  </si>
  <si>
    <t>31
🔴</t>
  </si>
  <si>
    <t>Friday</t>
  </si>
  <si>
    <t>Vlog</t>
  </si>
  <si>
    <t>Week in My Life</t>
  </si>
  <si>
    <t>Saturday</t>
  </si>
  <si>
    <t>Story</t>
  </si>
  <si>
    <t>Q&amp;A Session</t>
  </si>
  <si>
    <t>⚪ Planned</t>
  </si>
  <si>
    <t>💚 Low</t>
  </si>
  <si>
    <t>Sunday</t>
  </si>
  <si>
    <t>Twitch</t>
  </si>
  <si>
    <t>Live</t>
  </si>
  <si>
    <t>Gaming Stream</t>
  </si>
  <si>
    <t>🎨 CONTENT TYPES</t>
  </si>
  <si>
    <t>■</t>
  </si>
  <si>
    <t>🎬 YouTube Video</t>
  </si>
  <si>
    <t>📸 Instagram Reel</t>
  </si>
  <si>
    <t>📊 PLATFORM PERFORMANCE MATRIX</t>
  </si>
  <si>
    <t>📱 TikTok</t>
  </si>
  <si>
    <t>Followers</t>
  </si>
  <si>
    <t>Avg Views</t>
  </si>
  <si>
    <t>Eng Rate</t>
  </si>
  <si>
    <t>Revenue</t>
  </si>
  <si>
    <t>Growth</t>
  </si>
  <si>
    <t>Score</t>
  </si>
  <si>
    <t>🎙️ Podcast</t>
  </si>
  <si>
    <t>🎬 YouTube</t>
  </si>
  <si>
    <t>💼 Sponsored</t>
  </si>
  <si>
    <t>📸 Instagram</t>
  </si>
  <si>
    <t>🔴 Live Stream</t>
  </si>
  <si>
    <t>🏆 MONTHLY SCORECARD</t>
  </si>
  <si>
    <t>💜 Twitch</t>
  </si>
  <si>
    <t>Metric</t>
  </si>
  <si>
    <t>Goal</t>
  </si>
  <si>
    <t>Actual</t>
  </si>
  <si>
    <t>Progress</t>
  </si>
  <si>
    <t>Trend</t>
  </si>
  <si>
    <t>Videos Published</t>
  </si>
  <si>
    <t>Up</t>
  </si>
  <si>
    <t>⚡ QUICK STATS</t>
  </si>
  <si>
    <t>Total Views</t>
  </si>
  <si>
    <t>Total Followers</t>
  </si>
  <si>
    <t>Monthly Views</t>
  </si>
  <si>
    <t>Avg Engagement</t>
  </si>
  <si>
    <t>Monthly Revenue</t>
  </si>
  <si>
    <t>New Subscribers</t>
  </si>
  <si>
    <t>Engagement Rate</t>
  </si>
  <si>
    <t>Revenue ($)</t>
  </si>
  <si>
    <t>Brand Deals</t>
  </si>
  <si>
    <t>🎬 VIDEO PERFORMANCE ANALYTICS</t>
  </si>
  <si>
    <t>Track • Analyze • Optimize</t>
  </si>
  <si>
    <t>🏆 TOP 10 PERFORMING VIDEOS</t>
  </si>
  <si>
    <t>📂 CATEGORY BREAKDOWN</t>
  </si>
  <si>
    <t>Rank</t>
  </si>
  <si>
    <t>Video Title</t>
  </si>
  <si>
    <t>Upload Date</t>
  </si>
  <si>
    <t>Views</t>
  </si>
  <si>
    <t>Likes</t>
  </si>
  <si>
    <t>Comments</t>
  </si>
  <si>
    <t>Watch Time (hrs)</t>
  </si>
  <si>
    <t>CTR</t>
  </si>
  <si>
    <t>Avg View %</t>
  </si>
  <si>
    <t>Category</t>
  </si>
  <si>
    <t>Videos</t>
  </si>
  <si>
    <t>Total Rev</t>
  </si>
  <si>
    <t>% of Total</t>
  </si>
  <si>
    <t>10 Excel Tricks You NEED to Know</t>
  </si>
  <si>
    <t>2024-12-15</t>
  </si>
  <si>
    <t>Tutorials</t>
  </si>
  <si>
    <t>I Made $10K in One Week - Here's How</t>
  </si>
  <si>
    <t>2024-12-01</t>
  </si>
  <si>
    <t>Vlogs</t>
  </si>
  <si>
    <t>Complete Beginner's Guide to AI</t>
  </si>
  <si>
    <t>2024-11-20</t>
  </si>
  <si>
    <t>Reviews</t>
  </si>
  <si>
    <t>Day in My Life as a Creator</t>
  </si>
  <si>
    <t>2024-12-10</t>
  </si>
  <si>
    <t>Shorts</t>
  </si>
  <si>
    <t>Best Tech of 2024</t>
  </si>
  <si>
    <t>2024-12-20</t>
  </si>
  <si>
    <t>Collabs</t>
  </si>
  <si>
    <t>How I Edit My Videos</t>
  </si>
  <si>
    <t>2024-11-15</t>
  </si>
  <si>
    <t>Live VODs</t>
  </si>
  <si>
    <t>Studio Tour 2024</t>
  </si>
  <si>
    <t>2024-11-01</t>
  </si>
  <si>
    <t>Reacting to My Old Videos</t>
  </si>
  <si>
    <t>2024-12-05</t>
  </si>
  <si>
    <t>💬 ENGAGEMENT DASHBOARD</t>
  </si>
  <si>
    <t>Q&amp;A: 100K Subscribers Special</t>
  </si>
  <si>
    <t>2024-10-25</t>
  </si>
  <si>
    <t>📊 Avg Like Rate</t>
  </si>
  <si>
    <t>Unboxing New Camera Gear</t>
  </si>
  <si>
    <t>2024-12-18</t>
  </si>
  <si>
    <t>💬 Comment Rate</t>
  </si>
  <si>
    <t>⏱️ Avg Watch Time</t>
  </si>
  <si>
    <t>🎯 Avg CTR</t>
  </si>
  <si>
    <t>📅 MONTHLY UPLOAD TRACKER</t>
  </si>
  <si>
    <t>📈 Avg Retention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</si>
  <si>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</si>
  <si>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</si>
  <si>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</si>
  <si>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</si>
  <si>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</si>
  <si>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</si>
  <si>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</si>
  <si>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</si>
  <si>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</si>
  <si>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</si>
  <si>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</si>
  <si>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</si>
  <si>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Videos Uploaded</t>
  </si>
  <si>
    <t>Total Views (K)</t>
  </si>
  <si>
    <t>Watch Time (K hrs)</t>
  </si>
  <si>
    <t>New Subs</t>
  </si>
  <si>
    <t>🚀 VIRAL POTENTIAL CALCULATOR</t>
  </si>
  <si>
    <t>Factor</t>
  </si>
  <si>
    <t>Weight</t>
  </si>
  <si>
    <t>Your Score</t>
  </si>
  <si>
    <t>Weighted</t>
  </si>
  <si>
    <t>Benchmark</t>
  </si>
  <si>
    <t>Title Click-Worthiness</t>
  </si>
  <si>
    <t>Thumbnail Quality</t>
  </si>
  <si>
    <t>First 30 Seconds Hook</t>
  </si>
  <si>
    <t>Content Value</t>
  </si>
  <si>
    <t>Trend Alignment</t>
  </si>
  <si>
    <t>Posting Time</t>
  </si>
  <si>
    <t>🎯 VIRAL SCORE</t>
  </si>
  <si>
    <t>💰 REVENUE EMPIRE DASHBOARD</t>
  </si>
  <si>
    <t>Monetize • Diversify • Scale</t>
  </si>
  <si>
    <t>💎 REVENUE SOURCES</t>
  </si>
  <si>
    <t>🤝 BRAND DEAL PIPELINE</t>
  </si>
  <si>
    <t>Source</t>
  </si>
  <si>
    <t>Q1 Total</t>
  </si>
  <si>
    <t>% of Rev</t>
  </si>
  <si>
    <t>Brand</t>
  </si>
  <si>
    <t>Type</t>
  </si>
  <si>
    <t>Value</t>
  </si>
  <si>
    <t>Due Date</t>
  </si>
  <si>
    <t>Deliverables</t>
  </si>
  <si>
    <t>ROI Est</t>
  </si>
  <si>
    <t>🎬 YouTube AdSense</t>
  </si>
  <si>
    <t>🚀</t>
  </si>
  <si>
    <t>TechCorp Pro</t>
  </si>
  <si>
    <t>Sponsored Video</t>
  </si>
  <si>
    <t>✅ Completed</t>
  </si>
  <si>
    <t>2024-01-15</t>
  </si>
  <si>
    <t>1 Video + 3 IG</t>
  </si>
  <si>
    <t>💼 Brand Deals</t>
  </si>
  <si>
    <t>🔥</t>
  </si>
  <si>
    <t>FitLife App</t>
  </si>
  <si>
    <t>Integration</t>
  </si>
  <si>
    <t>🎬 In Progress</t>
  </si>
  <si>
    <t>2024-01-25</t>
  </si>
  <si>
    <t>2 Videos</t>
  </si>
  <si>
    <t>🛒 Affiliate Marketing</t>
  </si>
  <si>
    <t>📈</t>
  </si>
  <si>
    <t>AudioMax</t>
  </si>
  <si>
    <t>Product Review</t>
  </si>
  <si>
    <t>Multi</t>
  </si>
  <si>
    <t>📝 Negotiating</t>
  </si>
  <si>
    <t>2024-02-01</t>
  </si>
  <si>
    <t>YT + TikTok</t>
  </si>
  <si>
    <t>👕 Merchandise</t>
  </si>
  <si>
    <t>CloudSync</t>
  </si>
  <si>
    <t>Series Sponsor</t>
  </si>
  <si>
    <t>2024-02-15</t>
  </si>
  <si>
    <t>4 Videos</t>
  </si>
  <si>
    <t>📚 Digital Products</t>
  </si>
  <si>
    <t>StyleHub</t>
  </si>
  <si>
    <t>Affiliate Deal</t>
  </si>
  <si>
    <t>⏳ Pending</t>
  </si>
  <si>
    <t>2024-02-20</t>
  </si>
  <si>
    <t>5 Posts</t>
  </si>
  <si>
    <t>🎓 Courses/Coaching</t>
  </si>
  <si>
    <t>LearnNow</t>
  </si>
  <si>
    <t>Course Collab</t>
  </si>
  <si>
    <t>Website</t>
  </si>
  <si>
    <t>🎯 Pitched</t>
  </si>
  <si>
    <t>2024-03-01</t>
  </si>
  <si>
    <t>Joint Course</t>
  </si>
  <si>
    <t>💜 Twitch/Donations</t>
  </si>
  <si>
    <t>➡️</t>
  </si>
  <si>
    <t>🎙️ Podcast Sponsors</t>
  </si>
  <si>
    <t>📊 Pipeline Summary</t>
  </si>
  <si>
    <t>💰 TOTAL REVENUE</t>
  </si>
  <si>
    <t>Total Pipeline Value</t>
  </si>
  <si>
    <t>Avg Deal Size</t>
  </si>
  <si>
    <t>Deals Completed</t>
  </si>
  <si>
    <t>📈 12-MONTH REVENUE TREND</t>
  </si>
  <si>
    <t>TOTAL</t>
  </si>
  <si>
    <t>AdSense</t>
  </si>
  <si>
    <t>🌙 PASSIVE INCOME STREAMS</t>
  </si>
  <si>
    <t>Sponsors</t>
  </si>
  <si>
    <t>Stream</t>
  </si>
  <si>
    <t>Monthly $</t>
  </si>
  <si>
    <t>Effort Level</t>
  </si>
  <si>
    <t>Scalability</t>
  </si>
  <si>
    <t>Maturity</t>
  </si>
  <si>
    <t>Annual Est</t>
  </si>
  <si>
    <t>Affiliate</t>
  </si>
  <si>
    <t>YouTube Old Videos</t>
  </si>
  <si>
    <t>Ad Revenue</t>
  </si>
  <si>
    <t>🟢 Low</t>
  </si>
  <si>
    <t>⭐⭐⭐</t>
  </si>
  <si>
    <t>Mature</t>
  </si>
  <si>
    <t>Products</t>
  </si>
  <si>
    <t>Affiliate Links</t>
  </si>
  <si>
    <t>Commission</t>
  </si>
  <si>
    <t>⭐⭐⭐⭐</t>
  </si>
  <si>
    <t>Growing</t>
  </si>
  <si>
    <t>MONTHLY TOTAL</t>
  </si>
  <si>
    <t>Digital Templates</t>
  </si>
  <si>
    <t>⭐⭐⭐⭐⭐</t>
  </si>
  <si>
    <t>Online Course</t>
  </si>
  <si>
    <t>Education</t>
  </si>
  <si>
    <t>🟡 Med</t>
  </si>
  <si>
    <t>Print on Demand</t>
  </si>
  <si>
    <t>Merch</t>
  </si>
  <si>
    <t>New</t>
  </si>
  <si>
    <t>🎯 2025 FINANCIAL GOALS</t>
  </si>
  <si>
    <t>Stock Media</t>
  </si>
  <si>
    <t>Licensing</t>
  </si>
  <si>
    <t>⭐⭐</t>
  </si>
  <si>
    <t>Target</t>
  </si>
  <si>
    <t>Current</t>
  </si>
  <si>
    <t>Remaining</t>
  </si>
  <si>
    <t>Deadline</t>
  </si>
  <si>
    <t>On Track</t>
  </si>
  <si>
    <t>💰 Total Passive Monthly</t>
  </si>
  <si>
    <t>Annual Revenue</t>
  </si>
  <si>
    <t>Mar 31</t>
  </si>
  <si>
    <t>📅 Total Passive Annual</t>
  </si>
  <si>
    <t>YouTube Subs</t>
  </si>
  <si>
    <t>Dec 31</t>
  </si>
  <si>
    <t>Course Sales</t>
  </si>
  <si>
    <t>Email List</t>
  </si>
  <si>
    <t>👥 AUDIENCE INTELLIGENCE HUB</t>
  </si>
  <si>
    <t>Know Your People • Grow Your Tribe</t>
  </si>
  <si>
    <t>🎯 DEMOGRAPHIC BREAKDOWN</t>
  </si>
  <si>
    <t>🌍 GEOGRAPHIC DISTRIBUTION</t>
  </si>
  <si>
    <t>📊 Age Distribution</t>
  </si>
  <si>
    <t>⚧ Gender Split</t>
  </si>
  <si>
    <t>Country</t>
  </si>
  <si>
    <t>Viewers</t>
  </si>
  <si>
    <t>% Total</t>
  </si>
  <si>
    <t>Avg Watch</t>
  </si>
  <si>
    <t>Tier</t>
  </si>
  <si>
    <t>13-17</t>
  </si>
  <si>
    <t>Male</t>
  </si>
  <si>
    <t>🇺🇸 United States</t>
  </si>
  <si>
    <t>🥇</t>
  </si>
  <si>
    <t>18-24</t>
  </si>
  <si>
    <t>Female</t>
  </si>
  <si>
    <t>🇬🇧 United Kingdom</t>
  </si>
  <si>
    <t>🥈</t>
  </si>
  <si>
    <t>25-34</t>
  </si>
  <si>
    <t>Other</t>
  </si>
  <si>
    <t>🇨🇦 Canada</t>
  </si>
  <si>
    <t>35-44</t>
  </si>
  <si>
    <t>🇦🇺 Australia</t>
  </si>
  <si>
    <t>45-54</t>
  </si>
  <si>
    <t>🇩🇪 Germany</t>
  </si>
  <si>
    <t>🥉</t>
  </si>
  <si>
    <t>55+</t>
  </si>
  <si>
    <t>🇮🇳 India</t>
  </si>
  <si>
    <t>🇧🇷 Brazil</t>
  </si>
  <si>
    <t>Others</t>
  </si>
  <si>
    <t>➖</t>
  </si>
  <si>
    <t>⏰ ENGAGEMENT PATTERNS</t>
  </si>
  <si>
    <t>📅 Best Posting Times (Views by Hour)</t>
  </si>
  <si>
    <t>📈 SUBSCRIBER GROWTH ANALYSIS</t>
  </si>
  <si>
    <t>Month</t>
  </si>
  <si>
    <t>Start Subs</t>
  </si>
  <si>
    <t>Gained</t>
  </si>
  <si>
    <t>Lost</t>
  </si>
  <si>
    <t>Net</t>
  </si>
  <si>
    <t>End Subs</t>
  </si>
  <si>
    <t>Growth %</t>
  </si>
  <si>
    <t>Milestone</t>
  </si>
  <si>
    <t>6AM-10AM</t>
  </si>
  <si>
    <t>Oct 2024</t>
  </si>
  <si>
    <t>10AM-2PM</t>
  </si>
  <si>
    <t>Nov 2024</t>
  </si>
  <si>
    <t>🎉 100K!</t>
  </si>
  <si>
    <t>2PM-6PM</t>
  </si>
  <si>
    <t>Dec 2024</t>
  </si>
  <si>
    <t>6PM-10PM</t>
  </si>
  <si>
    <t>Jan 2025</t>
  </si>
  <si>
    <t>10PM-2AM</t>
  </si>
  <si>
    <t>Feb 2025</t>
  </si>
  <si>
    <t>🎉 125K!</t>
  </si>
  <si>
    <t>2AM-6AM</t>
  </si>
  <si>
    <t>Mar 2025</t>
  </si>
  <si>
    <t>❤️ CONTENT AFFINITY SCORES</t>
  </si>
  <si>
    <t>🎭 AUDIENCE PERSONAS</t>
  </si>
  <si>
    <t>Engagement</t>
  </si>
  <si>
    <t>Retention</t>
  </si>
  <si>
    <t>Shares</t>
  </si>
  <si>
    <t>Overall Score</t>
  </si>
  <si>
    <t>👨‍💻 Tech Enthusiast</t>
  </si>
  <si>
    <t>25-34, Male</t>
  </si>
  <si>
    <t>Tutorials, Reviews</t>
  </si>
  <si>
    <t>High engagement, long watch time</t>
  </si>
  <si>
    <t>🎓 Tutorials</t>
  </si>
  <si>
    <t>👩‍🎓 Career Builder</t>
  </si>
  <si>
    <t>22-30, Female</t>
  </si>
  <si>
    <t>Career tips, Courses</t>
  </si>
  <si>
    <t>High conversion, loyal</t>
  </si>
  <si>
    <t>📱 Shorts</t>
  </si>
  <si>
    <t>🎮 Casual Viewer</t>
  </si>
  <si>
    <t>18-24, Mixed</t>
  </si>
  <si>
    <t>Shorts, Entertainment</t>
  </si>
  <si>
    <t>High volume, lower retention</t>
  </si>
  <si>
    <t>🎤 Interviews</t>
  </si>
  <si>
    <t>💼 Business Owner</t>
  </si>
  <si>
    <t>35-45, Male</t>
  </si>
  <si>
    <t>Business tips, Tools</t>
  </si>
  <si>
    <t>Premium buyer, referrer</t>
  </si>
  <si>
    <t>📦 Unboxings</t>
  </si>
  <si>
    <t>🎮 Gaming</t>
  </si>
  <si>
    <t>📰 News/Updates</t>
  </si>
  <si>
    <t>🎬 Vlogs</t>
  </si>
  <si>
    <t>🚀 GROWTH STRATEGY WAR ROOM</t>
  </si>
  <si>
    <t>Plan • Execute • Scale</t>
  </si>
  <si>
    <t>🎯 90-DAY SPRINT OBJECTIVES</t>
  </si>
  <si>
    <t>📋 CONTENT STRATEGY MATRIX</t>
  </si>
  <si>
    <t>Objective</t>
  </si>
  <si>
    <t>Key Result</t>
  </si>
  <si>
    <t>Owner</t>
  </si>
  <si>
    <t>Due</t>
  </si>
  <si>
    <t>Content Pillar</t>
  </si>
  <si>
    <t>Weekly Target</t>
  </si>
  <si>
    <t>Primary Platform</t>
  </si>
  <si>
    <t>Effort</t>
  </si>
  <si>
    <t>Impact</t>
  </si>
  <si>
    <t>Grow YouTube</t>
  </si>
  <si>
    <t>Reach 150K subscribers</t>
  </si>
  <si>
    <t>Tony</t>
  </si>
  <si>
    <t>🟡 In Progress</t>
  </si>
  <si>
    <t>🔥 P1</t>
  </si>
  <si>
    <t>🎓 Educational</t>
  </si>
  <si>
    <t>Authority</t>
  </si>
  <si>
    <t>High</t>
  </si>
  <si>
    <t>Publish 36 videos</t>
  </si>
  <si>
    <t>🟢 On Track</t>
  </si>
  <si>
    <t>📱 Short-form</t>
  </si>
  <si>
    <t>TikTok/Reels</t>
  </si>
  <si>
    <t>Reach</t>
  </si>
  <si>
    <t>Medium</t>
  </si>
  <si>
    <t>Monetization</t>
  </si>
  <si>
    <t>Launch digital course</t>
  </si>
  <si>
    <t>Feb 28</t>
  </si>
  <si>
    <t>Spotify/YT</t>
  </si>
  <si>
    <t>Depth</t>
  </si>
  <si>
    <t>Sign 5 brand deals</t>
  </si>
  <si>
    <t>Team</t>
  </si>
  <si>
    <t>⚡ P2</t>
  </si>
  <si>
    <t>📰 Newsletter</t>
  </si>
  <si>
    <t>Email</t>
  </si>
  <si>
    <t>Low</t>
  </si>
  <si>
    <t>Community</t>
  </si>
  <si>
    <t>Grow email list to 15K</t>
  </si>
  <si>
    <t>Sarah</t>
  </si>
  <si>
    <t>🔴 Live</t>
  </si>
  <si>
    <t>YouTube/Twitch</t>
  </si>
  <si>
    <t>Launch Discord server</t>
  </si>
  <si>
    <t>Mike</t>
  </si>
  <si>
    <t>💚 P3</t>
  </si>
  <si>
    <t>Feb 15</t>
  </si>
  <si>
    <t>🤝 Collabs</t>
  </si>
  <si>
    <t>Cross-platform</t>
  </si>
  <si>
    <t>Content</t>
  </si>
  <si>
    <t>Avg 100K views/video</t>
  </si>
  <si>
    <t>Systems</t>
  </si>
  <si>
    <t>Hire video editor</t>
  </si>
  <si>
    <t>Feb 01</t>
  </si>
  <si>
    <t>🧪 GROWTH EXPERIMENTS</t>
  </si>
  <si>
    <t>Experiment</t>
  </si>
  <si>
    <t>Hypothesis</t>
  </si>
  <si>
    <t>Result</t>
  </si>
  <si>
    <t>Next Step</t>
  </si>
  <si>
    <t>📅 WEEKLY ACTION TRACKER</t>
  </si>
  <si>
    <t>Post at 3PM vs 6PM</t>
  </si>
  <si>
    <t>3PM gets more views</t>
  </si>
  <si>
    <t>✅ Done</t>
  </si>
  <si>
    <t>+15% CTR</t>
  </si>
  <si>
    <t>Shift schedule</t>
  </si>
  <si>
    <t>Task</t>
  </si>
  <si>
    <t>Longer thumbnails text</t>
  </si>
  <si>
    <t>More clicks</t>
  </si>
  <si>
    <t>🔄 Running</t>
  </si>
  <si>
    <t>Pending</t>
  </si>
  <si>
    <t>Continue test</t>
  </si>
  <si>
    <t>Film main video</t>
  </si>
  <si>
    <t>🎬 Production</t>
  </si>
  <si>
    <t>✅</t>
  </si>
  <si>
    <t>Shorts to Long funnel</t>
  </si>
  <si>
    <t>Converts viewers</t>
  </si>
  <si>
    <t>Subs</t>
  </si>
  <si>
    <t>+22% subs</t>
  </si>
  <si>
    <t>Scale up</t>
  </si>
  <si>
    <t>Edit &amp; publish</t>
  </si>
  <si>
    <t>✂️ Editing</t>
  </si>
  <si>
    <t>Email popup timing</t>
  </si>
  <si>
    <t>Later = more signups</t>
  </si>
  <si>
    <t>Conversion</t>
  </si>
  <si>
    <t>A/B test</t>
  </si>
  <si>
    <t>Create 2 Reels</t>
  </si>
  <si>
    <t>Collab frequency</t>
  </si>
  <si>
    <t>1/week optimal</t>
  </si>
  <si>
    <t>📋 Planned</t>
  </si>
  <si>
    <t>-</t>
  </si>
  <si>
    <t>Start Feb</t>
  </si>
  <si>
    <t>Record podcast</t>
  </si>
  <si>
    <t>🎙️ Audio</t>
  </si>
  <si>
    <t>Spotify</t>
  </si>
  <si>
    <t>TikTok content</t>
  </si>
  <si>
    <t>Email newsletter</t>
  </si>
  <si>
    <t>📰 Writing</t>
  </si>
  <si>
    <t>Engage comments</t>
  </si>
  <si>
    <t>💬 Community</t>
  </si>
  <si>
    <t>All</t>
  </si>
  <si>
    <t>Analytics review</t>
  </si>
  <si>
    <t>📊 Analysis</t>
  </si>
  <si>
    <t>🏆 MILESTONE ROADMAP 2025</t>
  </si>
  <si>
    <t>Q1</t>
  </si>
  <si>
    <t>Q2</t>
  </si>
  <si>
    <t>Q3</t>
  </si>
  <si>
    <t>Q4</t>
  </si>
  <si>
    <t>📈 150K Subs</t>
  </si>
  <si>
    <t>📈 200K Subs</t>
  </si>
  <si>
    <t>📈 300K Subs</t>
  </si>
  <si>
    <t>📈 500K Subs</t>
  </si>
  <si>
    <t>🎯 Launch Course</t>
  </si>
  <si>
    <t>🎯 Hire Team</t>
  </si>
  <si>
    <t>🎯 Book Deal</t>
  </si>
  <si>
    <t>🎯 Studio Build</t>
  </si>
  <si>
    <t>💰 5 Brand Deals</t>
  </si>
  <si>
    <t>💰 Agency Launch</t>
  </si>
  <si>
    <t>💰 $50K/month</t>
  </si>
  <si>
    <t>💰 $100K/month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</si>
</sst>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%"/>
    <numFmt numFmtId="165" formatCode="&quot;$&quot;#,##0"/>
    <numFmt numFmtId="166" formatCode="\+0.0%;\-0.0%"/>
    <numFmt numFmtId="167" formatCode="0.000%"/>
    <numFmt numFmtId="168" formatCode="#,##0&quot; hrs&quot;"/>
    <numFmt numFmtId="169" formatCode="0.0"/>
    <numFmt numFmtId="170" formatCode="0&quot;/100&quot;"/>
    <numFmt numFmtId="171" formatCode="0.0&quot;x&quot;"/>
    <numFmt numFmtId="172" formatCode="0.0&quot; min&quot;"/>
    <numFmt numFmtId="173" formatCode="\+0%;\-0%"/>
  </numFmts>
  <fonts count="43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0"/>
      <color rgb="FF9B59B6"/>
      <name val="Calibri"/>
    </font>
    <font>
      <b/>
      <sz val="14"/>
      <color rgb="FF9B59B6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b/>
      <sz val="12"/>
      <color rgb="FF9B59B6"/>
      <name val="Calibri"/>
    </font>
    <font>
      <sz val="11"/>
      <color rgb="FFFF0000"/>
      <name val="Calibri"/>
    </font>
    <font>
      <sz val="9"/>
      <name val="Calibri"/>
    </font>
    <font>
      <sz val="11"/>
      <color rgb="FFE1306C"/>
      <name val="Calibri"/>
    </font>
    <font>
      <sz val="11"/>
      <color rgb="FF00F2EA"/>
      <name val="Calibri"/>
    </font>
    <font>
      <sz val="11"/>
      <color rgb="FF1DB954"/>
      <name val="Calibri"/>
    </font>
    <font>
      <sz val="11"/>
      <color rgb="FFFFD93D"/>
      <name val="Calibri"/>
    </font>
    <font>
      <sz val="11"/>
      <color rgb="FFFF6B6B"/>
      <name val="Calibri"/>
    </font>
    <font>
      <b/>
      <sz val="14"/>
      <color rgb="FF00BCD4"/>
      <name val="Calibri"/>
    </font>
    <font>
      <b/>
      <sz val="14"/>
      <color rgb="FF00E67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FF5722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4"/>
      <color rgb="FFFF6B6B"/>
      <name val="Calibri"/>
    </font>
    <font>
      <b/>
      <sz val="16"/>
      <color rgb="FF9C27B0"/>
      <name val="Calibri"/>
    </font>
    <font>
      <b/>
      <sz val="16"/>
      <color rgb="FF2196F3"/>
      <name val="Calibri"/>
    </font>
    <font>
      <b/>
      <sz val="16"/>
      <color rgb="FF4CAF50"/>
      <name val="Calibri"/>
    </font>
    <font>
      <b/>
      <sz val="16"/>
      <color rgb="FFFF9800"/>
      <name val="Calibri"/>
    </font>
    <font>
      <b/>
      <sz val="10"/>
      <color rgb="FFFF0000"/>
      <name val="Calibri"/>
    </font>
    <font>
      <b/>
      <sz val="14"/>
      <color rgb="FFFF0000"/>
      <name val="Calibri"/>
    </font>
    <font>
      <b/>
      <sz val="12"/>
      <name val="Calibri"/>
    </font>
    <font>
      <b/>
      <sz val="14"/>
      <name val="Calibri"/>
    </font>
    <font>
      <b/>
      <sz val="16"/>
      <color rgb="FFFF6B6B"/>
      <name val="Calibri"/>
    </font>
    <font>
      <b/>
      <sz val="10"/>
      <color rgb="FFFFD93D"/>
      <name val="Calibri"/>
    </font>
    <font>
      <b/>
      <sz val="14"/>
      <color rgb="FFFFD93D"/>
      <name val="Calibri"/>
    </font>
    <font>
      <b/>
      <sz val="11"/>
      <color rgb="FF000000"/>
      <name val="Calibri"/>
    </font>
    <font>
      <b/>
      <sz val="11"/>
      <name val="Calibri"/>
    </font>
    <font>
      <b/>
      <sz val="9"/>
      <name val="Calibri"/>
    </font>
    <font>
      <b/>
      <sz val="11"/>
      <color rgb="FF9B59B6"/>
      <name val="Calibri"/>
    </font>
    <font>
      <b/>
      <sz val="10"/>
      <color rgb="FF00BCD4"/>
      <name val="Calibri"/>
    </font>
    <font>
      <b/>
      <sz val="10"/>
      <name val="Calibri"/>
    </font>
    <font>
      <b/>
      <sz val="10"/>
      <color rgb="FF00E676"/>
      <name val="Calibri"/>
    </font>
    <font>
      <b/>
      <sz val="11"/>
      <color rgb="FF00E676"/>
      <name val="Calibri"/>
    </font>
    <font>
      <b/>
      <sz val="14"/>
      <color rgb="FFFFFFFF"/>
      <name val="Calibri"/>
    </font>
    <font>
      <sz val="10"/>
      <name val="Calibri"/>
    </font>
  </fonts>
  <fills count="51">
    <fill>
      <patternFill patternType="none"/>
    </fill>
    <fill>
      <patternFill patternType="gray125"/>
    </fill>
    <fill>
      <patternFill patternType="solid">
        <fgColor rgb="FF9B59B6"/>
        <bgColor rgb="FF9B59B6"/>
      </patternFill>
    </fill>
    <fill>
      <patternFill patternType="solid">
        <fgColor rgb="FFF3E5F5"/>
        <bgColor rgb="FFF3E5F5"/>
      </patternFill>
    </fill>
    <fill>
      <patternFill patternType="solid">
        <fgColor rgb="FFF5F5F5"/>
        <bgColor rgb="FFF5F5F5"/>
      </patternFill>
    </fill>
    <fill>
      <patternFill patternType="solid">
        <fgColor rgb="FFEDE7F6"/>
        <bgColor rgb="FFEDE7F6"/>
      </patternFill>
    </fill>
    <fill>
      <patternFill patternType="solid">
        <fgColor rgb="FFFF0000"/>
        <bgColor rgb="FFFF0000"/>
      </patternFill>
    </fill>
    <fill>
      <patternFill patternType="solid">
        <fgColor rgb="FFE1306C"/>
        <bgColor rgb="FFE1306C"/>
      </patternFill>
    </fill>
    <fill>
      <patternFill patternType="solid">
        <fgColor rgb="FF1DB954"/>
        <bgColor rgb="FF1DB954"/>
      </patternFill>
    </fill>
    <fill>
      <patternFill patternType="solid">
        <fgColor rgb="FF00F2EA"/>
        <bgColor rgb="FF00F2EA"/>
      </patternFill>
    </fill>
    <fill>
      <patternFill patternType="solid">
        <fgColor rgb="FFFFD93D"/>
        <bgColor rgb="FFFFD93D"/>
      </patternFill>
    </fill>
    <fill>
      <patternFill patternType="solid">
        <fgColor rgb="FFFF6B6B"/>
        <bgColor rgb="FFFF6B6B"/>
      </patternFill>
    </fill>
    <fill>
      <patternFill patternType="solid">
        <fgColor rgb="FF00BCD4"/>
        <bgColor rgb="FF00BCD4"/>
      </patternFill>
    </fill>
    <fill>
      <patternFill patternType="solid">
        <fgColor rgb="FF9146FF"/>
        <bgColor rgb="FF9146FF"/>
      </patternFill>
    </fill>
    <fill>
      <patternFill patternType="solid">
        <fgColor rgb="FF00E676"/>
        <bgColor rgb="FF00E676"/>
      </patternFill>
    </fill>
    <fill>
      <patternFill patternType="solid">
        <fgColor rgb="FFFF5722"/>
        <bgColor rgb="FFFF5722"/>
      </patternFill>
    </fill>
    <fill>
      <patternFill patternType="solid">
        <fgColor rgb="FF9C27B0"/>
        <bgColor rgb="FF9C27B0"/>
      </patternFill>
    </fill>
    <fill>
      <patternFill patternType="solid">
        <fgColor rgb="FF2196F3"/>
        <bgColor rgb="FF2196F3"/>
      </patternFill>
    </fill>
    <fill>
      <patternFill patternType="solid">
        <fgColor rgb="FF4CAF50"/>
        <bgColor rgb="FF4CAF50"/>
      </patternFill>
    </fill>
    <fill>
      <patternFill patternType="solid">
        <fgColor rgb="FFFF9800"/>
        <bgColor rgb="FFFF9800"/>
      </patternFill>
    </fill>
    <fill>
      <patternFill patternType="solid">
        <fgColor rgb="FFFFEBEE"/>
        <bgColor rgb="FFFFEBEE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E91E63"/>
        <bgColor rgb="FFE91E63"/>
      </patternFill>
    </fill>
    <fill>
      <patternFill patternType="solid">
        <fgColor rgb="FF64B5F6"/>
        <bgColor rgb="FF64B5F6"/>
      </patternFill>
    </fill>
    <fill>
      <patternFill patternType="solid">
        <fgColor rgb="FF90CAF9"/>
        <bgColor rgb="FF90CAF9"/>
      </patternFill>
    </fill>
    <fill>
      <patternFill patternType="solid">
        <fgColor rgb="FFCE93D8"/>
        <bgColor rgb="FFCE93D8"/>
      </patternFill>
    </fill>
    <fill>
      <patternFill patternType="solid">
        <fgColor rgb="FFA5D6A7"/>
        <bgColor rgb="FFA5D6A7"/>
      </patternFill>
    </fill>
    <fill>
      <patternFill patternType="solid">
        <fgColor rgb="FFFFCC80"/>
        <bgColor rgb="FFFFCC80"/>
      </patternFill>
    </fill>
    <fill>
      <patternFill patternType="solid">
        <fgColor rgb="FFF48FB1"/>
        <bgColor rgb="FFF48FB1"/>
      </patternFill>
    </fill>
    <fill>
      <patternFill patternType="solid">
        <fgColor rgb="FFFFF8E1"/>
        <bgColor rgb="FFFFF8E1"/>
      </patternFill>
    </fill>
    <fill>
      <patternFill patternType="solid">
        <fgColor rgb="FF66BB6A"/>
        <bgColor rgb="FF66BB6A"/>
      </patternFill>
    </fill>
    <fill>
      <patternFill patternType="solid">
        <fgColor rgb="FF42A5F5"/>
        <bgColor rgb="FF42A5F5"/>
      </patternFill>
    </fill>
    <fill>
      <patternFill patternType="solid">
        <fgColor rgb="FFFFA726"/>
        <bgColor rgb="FFFFA726"/>
      </patternFill>
    </fill>
    <fill>
      <patternFill patternType="solid">
        <fgColor rgb="FFBA68C8"/>
        <bgColor rgb="FFBA68C8"/>
      </patternFill>
    </fill>
    <fill>
      <patternFill patternType="solid">
        <fgColor rgb="FFF06292"/>
        <bgColor rgb="FFF06292"/>
      </patternFill>
    </fill>
    <fill>
      <patternFill patternType="solid">
        <fgColor rgb="FFE3F2FD"/>
        <bgColor rgb="FFE3F2FD"/>
      </patternFill>
    </fill>
    <fill>
      <patternFill patternType="solid">
        <fgColor rgb="FFE1BEE7"/>
        <bgColor rgb="FFE1BEE7"/>
      </patternFill>
    </fill>
    <fill>
      <patternFill patternType="solid">
        <fgColor rgb="FF8E24AA"/>
        <bgColor rgb="FF8E24AA"/>
      </patternFill>
    </fill>
    <fill>
      <patternFill patternType="solid">
        <fgColor rgb="FF7B1FA2"/>
        <bgColor rgb="FF7B1FA2"/>
      </patternFill>
    </fill>
    <fill>
      <patternFill patternType="solid">
        <fgColor rgb="FFAB47BC"/>
        <bgColor rgb="FFAB47BC"/>
      </patternFill>
    </fill>
    <fill>
      <patternFill patternType="solid">
        <fgColor rgb="FF388E3C"/>
        <bgColor rgb="FF388E3C"/>
      </patternFill>
    </fill>
    <fill>
      <patternFill patternType="solid">
        <fgColor rgb="FFC8E6C9"/>
        <bgColor rgb="FFC8E6C9"/>
      </patternFill>
    </fill>
    <fill>
      <patternFill patternType="solid">
        <fgColor rgb="FFFFB74D"/>
        <bgColor rgb="FFFFB74D"/>
      </patternFill>
    </fill>
    <fill>
      <patternFill patternType="solid">
        <fgColor rgb="FFFB8C00"/>
        <bgColor rgb="FFFB8C00"/>
      </patternFill>
    </fill>
    <fill>
      <patternFill patternType="solid">
        <fgColor rgb="FFF57C00"/>
        <bgColor rgb="FFF57C00"/>
      </patternFill>
    </fill>
    <fill>
      <patternFill patternType="solid">
        <fgColor rgb="FFFFE0B2"/>
        <bgColor rgb="FFFFE0B2"/>
      </patternFill>
    </fill>
    <fill>
      <patternFill patternType="solid">
        <fgColor rgb="FFEC407A"/>
        <bgColor rgb="FFEC407A"/>
      </patternFill>
    </fill>
    <fill>
      <patternFill patternType="solid">
        <fgColor rgb="FFE8F5E9"/>
        <bgColor rgb="FFE8F5E9"/>
      </patternFill>
    </fill>
    <fill>
      <patternFill patternType="solid">
        <fgColor rgb="FF81C784"/>
        <bgColor rgb="FF81C78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7" fillId="6" borderId="0" xfId="0" applyFont="1" applyFill="1"/>
    <xf numFmtId="0" fontId="8" fillId="0" borderId="0" xfId="0" applyFont="1"/>
    <xf numFmtId="0" fontId="9" fillId="7" borderId="0" xfId="0" applyFont="1" applyFill="1"/>
    <xf numFmtId="0" fontId="10" fillId="9" borderId="0" xfId="0" applyFont="1" applyFill="1"/>
    <xf numFmtId="0" fontId="16" fillId="15" borderId="1" xfId="0" applyFont="1" applyFill="1" applyBorder="1" applyAlignment="1">
      <alignment horizontal="center" vertical="center"/>
    </xf>
    <xf numFmtId="0" fontId="11" fillId="8" borderId="0" xfId="0" applyFont="1" applyFill="1"/>
    <xf numFmtId="0" fontId="19" fillId="6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10" borderId="0" xfId="0" applyFont="1" applyFill="1"/>
    <xf numFmtId="0" fontId="19" fillId="7" borderId="1" xfId="0" applyFont="1" applyFill="1" applyBorder="1" applyAlignment="1">
      <alignment horizontal="center"/>
    </xf>
    <xf numFmtId="0" fontId="13" fillId="11" borderId="0" xfId="0" applyFont="1" applyFill="1"/>
    <xf numFmtId="0" fontId="20" fillId="9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3" fontId="17" fillId="0" borderId="1" xfId="0" applyNumberFormat="1" applyFont="1" applyBorder="1"/>
    <xf numFmtId="9" fontId="0" fillId="0" borderId="1" xfId="0" applyNumberFormat="1" applyBorder="1"/>
    <xf numFmtId="0" fontId="4" fillId="19" borderId="0" xfId="0" applyFont="1" applyFill="1" applyAlignment="1">
      <alignment horizontal="center"/>
    </xf>
    <xf numFmtId="164" fontId="0" fillId="0" borderId="1" xfId="0" applyNumberFormat="1" applyBorder="1"/>
    <xf numFmtId="164" fontId="17" fillId="0" borderId="1" xfId="0" applyNumberFormat="1" applyFont="1" applyBorder="1"/>
    <xf numFmtId="165" fontId="0" fillId="0" borderId="1" xfId="0" applyNumberFormat="1" applyBorder="1"/>
    <xf numFmtId="165" fontId="17" fillId="0" borderId="1" xfId="0" applyNumberFormat="1" applyFont="1" applyBorder="1"/>
    <xf numFmtId="0" fontId="16" fillId="6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center"/>
    </xf>
    <xf numFmtId="1" fontId="17" fillId="0" borderId="1" xfId="0" applyNumberFormat="1" applyFont="1" applyBorder="1"/>
    <xf numFmtId="0" fontId="17" fillId="17" borderId="1" xfId="0" applyFont="1" applyFill="1" applyBorder="1"/>
    <xf numFmtId="0" fontId="28" fillId="22" borderId="1" xfId="0" applyFont="1" applyFill="1" applyBorder="1" applyAlignment="1">
      <alignment horizontal="center"/>
    </xf>
    <xf numFmtId="0" fontId="17" fillId="24" borderId="1" xfId="0" applyFont="1" applyFill="1" applyBorder="1"/>
    <xf numFmtId="0" fontId="28" fillId="23" borderId="1" xfId="0" applyFont="1" applyFill="1" applyBorder="1" applyAlignment="1">
      <alignment horizontal="center"/>
    </xf>
    <xf numFmtId="0" fontId="17" fillId="18" borderId="1" xfId="0" applyFont="1" applyFill="1" applyBorder="1"/>
    <xf numFmtId="0" fontId="28" fillId="0" borderId="1" xfId="0" applyFont="1" applyBorder="1" applyAlignment="1">
      <alignment horizontal="center"/>
    </xf>
    <xf numFmtId="0" fontId="17" fillId="19" borderId="1" xfId="0" applyFont="1" applyFill="1" applyBorder="1"/>
    <xf numFmtId="0" fontId="17" fillId="16" borderId="1" xfId="0" applyFont="1" applyFill="1" applyBorder="1"/>
    <xf numFmtId="0" fontId="17" fillId="25" borderId="1" xfId="0" applyFont="1" applyFill="1" applyBorder="1"/>
    <xf numFmtId="0" fontId="16" fillId="12" borderId="1" xfId="0" applyFont="1" applyFill="1" applyBorder="1" applyAlignment="1">
      <alignment horizontal="center" vertical="center"/>
    </xf>
    <xf numFmtId="0" fontId="17" fillId="26" borderId="1" xfId="0" applyFont="1" applyFill="1" applyBorder="1"/>
    <xf numFmtId="0" fontId="17" fillId="27" borderId="1" xfId="0" applyFont="1" applyFill="1" applyBorder="1"/>
    <xf numFmtId="0" fontId="17" fillId="28" borderId="1" xfId="0" applyFont="1" applyFill="1" applyBorder="1"/>
    <xf numFmtId="0" fontId="17" fillId="29" borderId="1" xfId="0" applyFont="1" applyFill="1" applyBorder="1"/>
    <xf numFmtId="0" fontId="17" fillId="30" borderId="1" xfId="0" applyFont="1" applyFill="1" applyBorder="1"/>
    <xf numFmtId="0" fontId="16" fillId="11" borderId="1" xfId="0" applyFont="1" applyFill="1" applyBorder="1" applyAlignment="1">
      <alignment horizontal="center" vertical="center"/>
    </xf>
    <xf numFmtId="169" fontId="0" fillId="0" borderId="1" xfId="0" applyNumberFormat="1" applyBorder="1"/>
    <xf numFmtId="170" fontId="30" fillId="0" borderId="0" xfId="0" applyNumberFormat="1" applyFont="1"/>
    <xf numFmtId="0" fontId="33" fillId="10" borderId="1" xfId="0" applyFont="1" applyFill="1" applyBorder="1" applyAlignment="1">
      <alignment horizontal="center" vertical="center"/>
    </xf>
    <xf numFmtId="0" fontId="19" fillId="6" borderId="1" xfId="0" applyFont="1" applyFill="1" applyBorder="1"/>
    <xf numFmtId="166" fontId="0" fillId="0" borderId="1" xfId="0" applyNumberFormat="1" applyBorder="1"/>
    <xf numFmtId="0" fontId="0" fillId="32" borderId="1" xfId="0" applyFill="1" applyBorder="1"/>
    <xf numFmtId="171" fontId="0" fillId="0" borderId="1" xfId="0" applyNumberFormat="1" applyBorder="1"/>
    <xf numFmtId="0" fontId="20" fillId="10" borderId="1" xfId="0" applyFont="1" applyFill="1" applyBorder="1"/>
    <xf numFmtId="0" fontId="0" fillId="33" borderId="1" xfId="0" applyFill="1" applyBorder="1"/>
    <xf numFmtId="0" fontId="20" fillId="14" borderId="1" xfId="0" applyFont="1" applyFill="1" applyBorder="1"/>
    <xf numFmtId="0" fontId="0" fillId="34" borderId="1" xfId="0" applyFill="1" applyBorder="1"/>
    <xf numFmtId="0" fontId="19" fillId="2" borderId="1" xfId="0" applyFont="1" applyFill="1" applyBorder="1"/>
    <xf numFmtId="0" fontId="19" fillId="12" borderId="1" xfId="0" applyFont="1" applyFill="1" applyBorder="1"/>
    <xf numFmtId="0" fontId="0" fillId="35" borderId="1" xfId="0" applyFill="1" applyBorder="1"/>
    <xf numFmtId="0" fontId="19" fillId="15" borderId="1" xfId="0" applyFont="1" applyFill="1" applyBorder="1"/>
    <xf numFmtId="0" fontId="0" fillId="36" borderId="1" xfId="0" applyFill="1" applyBorder="1"/>
    <xf numFmtId="0" fontId="19" fillId="13" borderId="1" xfId="0" applyFont="1" applyFill="1" applyBorder="1"/>
    <xf numFmtId="0" fontId="19" fillId="8" borderId="1" xfId="0" applyFont="1" applyFill="1" applyBorder="1"/>
    <xf numFmtId="0" fontId="34" fillId="0" borderId="0" xfId="0" applyFont="1"/>
    <xf numFmtId="165" fontId="34" fillId="10" borderId="4" xfId="0" applyNumberFormat="1" applyFont="1" applyFill="1" applyBorder="1"/>
    <xf numFmtId="165" fontId="0" fillId="0" borderId="1" xfId="0" applyNumberFormat="1" applyBorder="1" applyAlignment="1">
      <alignment horizontal="right"/>
    </xf>
    <xf numFmtId="165" fontId="16" fillId="15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Border="1" applyAlignment="1">
      <alignment horizontal="right"/>
    </xf>
    <xf numFmtId="0" fontId="19" fillId="12" borderId="0" xfId="0" applyFont="1" applyFill="1"/>
    <xf numFmtId="165" fontId="17" fillId="26" borderId="1" xfId="0" applyNumberFormat="1" applyFont="1" applyFill="1" applyBorder="1"/>
    <xf numFmtId="165" fontId="18" fillId="0" borderId="0" xfId="0" applyNumberFormat="1" applyFont="1"/>
    <xf numFmtId="0" fontId="0" fillId="38" borderId="1" xfId="0" applyFill="1" applyBorder="1"/>
    <xf numFmtId="9" fontId="19" fillId="17" borderId="1" xfId="0" applyNumberFormat="1" applyFont="1" applyFill="1" applyBorder="1"/>
    <xf numFmtId="0" fontId="17" fillId="42" borderId="1" xfId="0" applyFont="1" applyFill="1" applyBorder="1"/>
    <xf numFmtId="172" fontId="0" fillId="0" borderId="1" xfId="0" applyNumberFormat="1" applyBorder="1"/>
    <xf numFmtId="173" fontId="0" fillId="0" borderId="1" xfId="0" applyNumberFormat="1" applyBorder="1"/>
    <xf numFmtId="9" fontId="19" fillId="24" borderId="1" xfId="0" applyNumberFormat="1" applyFont="1" applyFill="1" applyBorder="1"/>
    <xf numFmtId="0" fontId="0" fillId="16" borderId="1" xfId="0" applyFill="1" applyBorder="1"/>
    <xf numFmtId="9" fontId="19" fillId="41" borderId="1" xfId="0" applyNumberFormat="1" applyFont="1" applyFill="1" applyBorder="1"/>
    <xf numFmtId="0" fontId="17" fillId="43" borderId="1" xfId="0" applyFont="1" applyFill="1" applyBorder="1"/>
    <xf numFmtId="0" fontId="0" fillId="39" borderId="1" xfId="0" applyFill="1" applyBorder="1"/>
    <xf numFmtId="0" fontId="0" fillId="40" borderId="1" xfId="0" applyFill="1" applyBorder="1"/>
    <xf numFmtId="0" fontId="35" fillId="0" borderId="0" xfId="0" applyFont="1" applyAlignment="1">
      <alignment horizontal="center"/>
    </xf>
    <xf numFmtId="0" fontId="8" fillId="0" borderId="1" xfId="0" applyFont="1" applyBorder="1"/>
    <xf numFmtId="0" fontId="0" fillId="44" borderId="1" xfId="0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34" fillId="0" borderId="1" xfId="0" applyFont="1" applyBorder="1"/>
    <xf numFmtId="0" fontId="4" fillId="45" borderId="1" xfId="0" applyFont="1" applyFill="1" applyBorder="1" applyAlignment="1">
      <alignment horizontal="center"/>
    </xf>
    <xf numFmtId="0" fontId="4" fillId="46" borderId="1" xfId="0" applyFont="1" applyFill="1" applyBorder="1" applyAlignment="1">
      <alignment horizontal="center"/>
    </xf>
    <xf numFmtId="0" fontId="0" fillId="47" borderId="1" xfId="0" applyFill="1" applyBorder="1" applyAlignment="1">
      <alignment horizontal="center"/>
    </xf>
    <xf numFmtId="0" fontId="17" fillId="33" borderId="1" xfId="0" applyFont="1" applyFill="1" applyBorder="1"/>
    <xf numFmtId="0" fontId="0" fillId="32" borderId="1" xfId="0" applyFill="1" applyBorder="1" applyAlignment="1">
      <alignment horizontal="center"/>
    </xf>
    <xf numFmtId="1" fontId="34" fillId="0" borderId="1" xfId="0" applyNumberFormat="1" applyFont="1" applyBorder="1"/>
    <xf numFmtId="0" fontId="17" fillId="48" borderId="1" xfId="0" applyFont="1" applyFill="1" applyBorder="1"/>
    <xf numFmtId="0" fontId="0" fillId="30" borderId="1" xfId="0" applyFill="1" applyBorder="1" applyAlignment="1">
      <alignment horizontal="center"/>
    </xf>
    <xf numFmtId="0" fontId="17" fillId="41" borderId="1" xfId="0" applyFont="1" applyFill="1" applyBorder="1"/>
    <xf numFmtId="0" fontId="17" fillId="32" borderId="1" xfId="0" applyFont="1" applyFill="1" applyBorder="1"/>
    <xf numFmtId="0" fontId="0" fillId="44" borderId="1" xfId="0" applyFill="1" applyBorder="1"/>
    <xf numFmtId="0" fontId="19" fillId="33" borderId="1" xfId="0" applyFont="1" applyFill="1" applyBorder="1"/>
    <xf numFmtId="0" fontId="0" fillId="50" borderId="1" xfId="0" applyFill="1" applyBorder="1"/>
    <xf numFmtId="0" fontId="19" fillId="48" borderId="1" xfId="0" applyFont="1" applyFill="1" applyBorder="1"/>
    <xf numFmtId="9" fontId="17" fillId="0" borderId="1" xfId="0" applyNumberFormat="1" applyFont="1" applyBorder="1"/>
    <xf numFmtId="0" fontId="20" fillId="34" borderId="1" xfId="0" applyFont="1" applyFill="1" applyBorder="1"/>
    <xf numFmtId="0" fontId="19" fillId="11" borderId="1" xfId="0" applyFont="1" applyFill="1" applyBorder="1"/>
    <xf numFmtId="0" fontId="19" fillId="41" borderId="1" xfId="0" applyFont="1" applyFill="1" applyBorder="1"/>
    <xf numFmtId="0" fontId="40" fillId="0" borderId="1" xfId="0" applyFont="1" applyBorder="1"/>
    <xf numFmtId="0" fontId="0" fillId="25" borderId="1" xfId="0" applyFill="1" applyBorder="1"/>
    <xf numFmtId="0" fontId="4" fillId="6" borderId="1" xfId="0" applyFont="1" applyFill="1" applyBorder="1"/>
    <xf numFmtId="0" fontId="0" fillId="50" borderId="1" xfId="0" applyFill="1" applyBorder="1" applyAlignment="1">
      <alignment horizontal="center"/>
    </xf>
    <xf numFmtId="0" fontId="4" fillId="2" borderId="1" xfId="0" applyFont="1" applyFill="1" applyBorder="1"/>
    <xf numFmtId="0" fontId="4" fillId="24" borderId="1" xfId="0" applyFont="1" applyFill="1" applyBorder="1"/>
    <xf numFmtId="0" fontId="4" fillId="8" borderId="1" xfId="0" applyFont="1" applyFill="1" applyBorder="1"/>
    <xf numFmtId="0" fontId="4" fillId="15" borderId="1" xfId="0" applyFont="1" applyFill="1" applyBorder="1"/>
    <xf numFmtId="0" fontId="4" fillId="12" borderId="1" xfId="0" applyFont="1" applyFill="1" applyBorder="1"/>
    <xf numFmtId="0" fontId="5" fillId="10" borderId="1" xfId="0" applyFont="1" applyFill="1" applyBorder="1"/>
    <xf numFmtId="0" fontId="42" fillId="0" borderId="0" xfId="0" applyFont="1"/>
    <xf numFmtId="164" fontId="24" fillId="0" borderId="0" xfId="0" applyNumberFormat="1" applyFont="1" applyAlignment="1">
      <alignment horizontal="center"/>
    </xf>
    <xf numFmtId="0" fontId="0" fillId="0" borderId="0" xfId="0"/>
    <xf numFmtId="0" fontId="15" fillId="0" borderId="0" xfId="0" applyFont="1"/>
    <xf numFmtId="3" fontId="23" fillId="0" borderId="0" xfId="0" applyNumberFormat="1" applyFont="1" applyAlignment="1">
      <alignment horizontal="center"/>
    </xf>
    <xf numFmtId="165" fontId="25" fillId="0" borderId="0" xfId="0" applyNumberFormat="1" applyFont="1" applyAlignment="1">
      <alignment horizontal="center"/>
    </xf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18" fillId="0" borderId="0" xfId="0" applyFont="1"/>
    <xf numFmtId="0" fontId="2" fillId="3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/>
    </xf>
    <xf numFmtId="0" fontId="4" fillId="18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14" fillId="0" borderId="0" xfId="0" applyFont="1"/>
    <xf numFmtId="0" fontId="21" fillId="0" borderId="0" xfId="0" applyFont="1"/>
    <xf numFmtId="0" fontId="3" fillId="0" borderId="0" xfId="0" applyFont="1"/>
    <xf numFmtId="3" fontId="22" fillId="0" borderId="0" xfId="0" applyNumberFormat="1" applyFont="1" applyAlignment="1">
      <alignment horizontal="center"/>
    </xf>
    <xf numFmtId="0" fontId="17" fillId="18" borderId="1" xfId="0" applyFont="1" applyFill="1" applyBorder="1"/>
    <xf numFmtId="0" fontId="0" fillId="0" borderId="2" xfId="0" applyBorder="1"/>
    <xf numFmtId="0" fontId="0" fillId="0" borderId="3" xfId="0" applyBorder="1"/>
    <xf numFmtId="167" fontId="29" fillId="0" borderId="1" xfId="0" applyNumberFormat="1" applyFont="1" applyBorder="1" applyAlignment="1">
      <alignment horizontal="center"/>
    </xf>
    <xf numFmtId="0" fontId="17" fillId="17" borderId="1" xfId="0" applyFont="1" applyFill="1" applyBorder="1"/>
    <xf numFmtId="168" fontId="29" fillId="0" borderId="1" xfId="0" applyNumberFormat="1" applyFont="1" applyBorder="1" applyAlignment="1">
      <alignment horizontal="center"/>
    </xf>
    <xf numFmtId="0" fontId="17" fillId="24" borderId="1" xfId="0" applyFont="1" applyFill="1" applyBorder="1"/>
    <xf numFmtId="10" fontId="29" fillId="0" borderId="1" xfId="0" applyNumberFormat="1" applyFont="1" applyBorder="1" applyAlignment="1">
      <alignment horizontal="center"/>
    </xf>
    <xf numFmtId="0" fontId="17" fillId="19" borderId="1" xfId="0" applyFont="1" applyFill="1" applyBorder="1"/>
    <xf numFmtId="0" fontId="27" fillId="0" borderId="0" xfId="0" applyFont="1"/>
    <xf numFmtId="0" fontId="1" fillId="6" borderId="0" xfId="0" applyFont="1" applyFill="1" applyAlignment="1">
      <alignment horizontal="center" vertical="center"/>
    </xf>
    <xf numFmtId="0" fontId="17" fillId="16" borderId="1" xfId="0" applyFont="1" applyFill="1" applyBorder="1"/>
    <xf numFmtId="0" fontId="28" fillId="0" borderId="0" xfId="0" applyFont="1"/>
    <xf numFmtId="164" fontId="29" fillId="0" borderId="1" xfId="0" applyNumberFormat="1" applyFont="1" applyBorder="1" applyAlignment="1">
      <alignment horizontal="center"/>
    </xf>
    <xf numFmtId="9" fontId="29" fillId="0" borderId="1" xfId="0" applyNumberFormat="1" applyFont="1" applyBorder="1" applyAlignment="1">
      <alignment horizontal="center"/>
    </xf>
    <xf numFmtId="0" fontId="26" fillId="20" borderId="0" xfId="0" applyFont="1" applyFill="1" applyAlignment="1">
      <alignment horizontal="center" vertical="center"/>
    </xf>
    <xf numFmtId="0" fontId="35" fillId="0" borderId="0" xfId="0" applyFont="1"/>
    <xf numFmtId="1" fontId="36" fillId="0" borderId="0" xfId="0" applyNumberFormat="1" applyFont="1"/>
    <xf numFmtId="0" fontId="17" fillId="0" borderId="0" xfId="0" applyFont="1"/>
    <xf numFmtId="165" fontId="36" fillId="0" borderId="0" xfId="0" applyNumberFormat="1" applyFont="1"/>
    <xf numFmtId="165" fontId="18" fillId="0" borderId="1" xfId="0" applyNumberFormat="1" applyFont="1" applyBorder="1" applyAlignment="1">
      <alignment horizontal="right"/>
    </xf>
    <xf numFmtId="0" fontId="1" fillId="10" borderId="0" xfId="0" applyFont="1" applyFill="1" applyAlignment="1">
      <alignment horizontal="center" vertical="center"/>
    </xf>
    <xf numFmtId="0" fontId="32" fillId="0" borderId="0" xfId="0" applyFont="1"/>
    <xf numFmtId="0" fontId="31" fillId="31" borderId="0" xfId="0" applyFont="1" applyFill="1" applyAlignment="1">
      <alignment horizontal="center" vertical="center"/>
    </xf>
    <xf numFmtId="0" fontId="34" fillId="0" borderId="0" xfId="0" applyFont="1"/>
    <xf numFmtId="0" fontId="0" fillId="0" borderId="1" xfId="0" applyBorder="1"/>
    <xf numFmtId="0" fontId="1" fillId="12" borderId="0" xfId="0" applyFont="1" applyFill="1" applyAlignment="1">
      <alignment horizontal="center" vertical="center"/>
    </xf>
    <xf numFmtId="0" fontId="38" fillId="0" borderId="0" xfId="0" applyFont="1"/>
    <xf numFmtId="0" fontId="37" fillId="37" borderId="0" xfId="0" applyFont="1" applyFill="1" applyAlignment="1">
      <alignment horizontal="center" vertical="center"/>
    </xf>
    <xf numFmtId="0" fontId="41" fillId="14" borderId="0" xfId="0" applyFont="1" applyFill="1" applyAlignment="1">
      <alignment horizontal="center"/>
    </xf>
    <xf numFmtId="0" fontId="1" fillId="14" borderId="0" xfId="0" applyFont="1" applyFill="1" applyAlignment="1">
      <alignment horizontal="center" vertical="center"/>
    </xf>
    <xf numFmtId="0" fontId="41" fillId="10" borderId="0" xfId="0" applyFont="1" applyFill="1" applyAlignment="1">
      <alignment horizontal="center"/>
    </xf>
    <xf numFmtId="0" fontId="39" fillId="49" borderId="0" xfId="0" applyFont="1" applyFill="1" applyAlignment="1">
      <alignment horizontal="center" vertical="center"/>
    </xf>
    <xf numFmtId="0" fontId="41" fillId="12" borderId="0" xfId="0" applyFont="1" applyFill="1" applyAlignment="1">
      <alignment horizontal="center"/>
    </xf>
    <xf numFmtId="0" fontId="41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81C784"/>
          <bgColor rgb="FF81C78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B59B6"/>
  </sheetPr>
  <dimension ref="B2:Q2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2" max="8" width="12" customWidth="1"/>
    <col min="9" max="16" width="14" customWidth="1"/>
  </cols>
  <sheetData>
    <row r="2" spans="2:16" ht="35" customHeight="1" x14ac:dyDescent="0.35">
      <c r="B2" s="145" t="s">
        <v>0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</row>
    <row r="3" spans="2:16" ht="20" customHeight="1" x14ac:dyDescent="0.35">
      <c r="B3" s="147" t="s">
        <v>1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</row>
    <row r="5" spans="2:16" ht="18.5" x14ac:dyDescent="0.45">
      <c r="B5" s="154" t="s">
        <v>2</v>
      </c>
      <c r="C5" s="140"/>
      <c r="D5" s="140"/>
      <c r="E5" s="140"/>
      <c r="F5" s="140"/>
      <c r="G5" s="140"/>
      <c r="H5" s="140"/>
      <c r="J5" s="152" t="s">
        <v>3</v>
      </c>
      <c r="K5" s="140"/>
      <c r="L5" s="140"/>
      <c r="M5" s="140"/>
      <c r="N5" s="140"/>
      <c r="O5" s="140"/>
      <c r="P5" s="140"/>
    </row>
    <row r="6" spans="2:16" x14ac:dyDescent="0.35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</row>
    <row r="7" spans="2:16" ht="35" customHeight="1" x14ac:dyDescent="0.35">
      <c r="B7" s="3"/>
      <c r="C7" s="3"/>
      <c r="D7" s="4">
        <v>1</v>
      </c>
      <c r="E7" s="4">
        <v>2</v>
      </c>
      <c r="F7" s="4">
        <v>3</v>
      </c>
      <c r="G7" s="5">
        <v>4</v>
      </c>
      <c r="H7" s="5">
        <v>5</v>
      </c>
      <c r="J7" s="6" t="s">
        <v>18</v>
      </c>
      <c r="K7" s="7" t="s">
        <v>19</v>
      </c>
      <c r="L7" s="6" t="s">
        <v>20</v>
      </c>
      <c r="M7" s="6" t="s">
        <v>21</v>
      </c>
      <c r="N7" s="6" t="s">
        <v>22</v>
      </c>
      <c r="O7" s="6" t="s">
        <v>23</v>
      </c>
      <c r="P7" s="8">
        <v>50000</v>
      </c>
    </row>
    <row r="8" spans="2:16" ht="35" customHeight="1" x14ac:dyDescent="0.35">
      <c r="B8" s="9" t="s">
        <v>24</v>
      </c>
      <c r="C8" s="4">
        <v>7</v>
      </c>
      <c r="D8" s="10" t="s">
        <v>25</v>
      </c>
      <c r="E8" s="4">
        <v>9</v>
      </c>
      <c r="F8" s="11" t="s">
        <v>26</v>
      </c>
      <c r="G8" s="5">
        <v>11</v>
      </c>
      <c r="H8" s="5">
        <v>12</v>
      </c>
      <c r="J8" s="6" t="s">
        <v>27</v>
      </c>
      <c r="K8" s="12" t="s">
        <v>28</v>
      </c>
      <c r="L8" s="6" t="s">
        <v>29</v>
      </c>
      <c r="M8" s="6" t="s">
        <v>30</v>
      </c>
      <c r="N8" s="6" t="s">
        <v>31</v>
      </c>
      <c r="O8" s="6" t="s">
        <v>32</v>
      </c>
      <c r="P8" s="8">
        <v>25000</v>
      </c>
    </row>
    <row r="9" spans="2:16" ht="35" customHeight="1" x14ac:dyDescent="0.35">
      <c r="B9" s="9" t="s">
        <v>33</v>
      </c>
      <c r="C9" s="4">
        <v>14</v>
      </c>
      <c r="D9" s="13" t="s">
        <v>34</v>
      </c>
      <c r="E9" s="4">
        <v>16</v>
      </c>
      <c r="F9" s="14" t="s">
        <v>35</v>
      </c>
      <c r="G9" s="5">
        <v>18</v>
      </c>
      <c r="H9" s="5">
        <v>19</v>
      </c>
      <c r="J9" s="6" t="s">
        <v>36</v>
      </c>
      <c r="K9" s="15" t="s">
        <v>37</v>
      </c>
      <c r="L9" s="6" t="s">
        <v>38</v>
      </c>
      <c r="M9" s="6" t="s">
        <v>39</v>
      </c>
      <c r="N9" s="6" t="s">
        <v>22</v>
      </c>
      <c r="O9" s="6" t="s">
        <v>23</v>
      </c>
      <c r="P9" s="8">
        <v>100000</v>
      </c>
    </row>
    <row r="10" spans="2:16" ht="35" customHeight="1" x14ac:dyDescent="0.35">
      <c r="B10" s="9" t="s">
        <v>40</v>
      </c>
      <c r="C10" s="4">
        <v>21</v>
      </c>
      <c r="D10" s="10" t="s">
        <v>41</v>
      </c>
      <c r="E10" s="4">
        <v>23</v>
      </c>
      <c r="F10" s="11" t="s">
        <v>42</v>
      </c>
      <c r="G10" s="5">
        <v>25</v>
      </c>
      <c r="H10" s="5">
        <v>26</v>
      </c>
      <c r="J10" s="6" t="s">
        <v>43</v>
      </c>
      <c r="K10" s="16" t="s">
        <v>44</v>
      </c>
      <c r="L10" s="6" t="s">
        <v>45</v>
      </c>
      <c r="M10" s="6" t="s">
        <v>46</v>
      </c>
      <c r="N10" s="6" t="s">
        <v>47</v>
      </c>
      <c r="O10" s="6" t="s">
        <v>32</v>
      </c>
      <c r="P10" s="8">
        <v>15000</v>
      </c>
    </row>
    <row r="11" spans="2:16" ht="35" customHeight="1" x14ac:dyDescent="0.35">
      <c r="B11" s="9" t="s">
        <v>48</v>
      </c>
      <c r="C11" s="4">
        <v>28</v>
      </c>
      <c r="D11" s="13" t="s">
        <v>49</v>
      </c>
      <c r="E11" s="4">
        <v>30</v>
      </c>
      <c r="F11" s="17" t="s">
        <v>50</v>
      </c>
      <c r="G11" s="3"/>
      <c r="H11" s="3"/>
      <c r="J11" s="6" t="s">
        <v>51</v>
      </c>
      <c r="K11" s="7" t="s">
        <v>19</v>
      </c>
      <c r="L11" s="6" t="s">
        <v>52</v>
      </c>
      <c r="M11" s="6" t="s">
        <v>53</v>
      </c>
      <c r="N11" s="6" t="s">
        <v>31</v>
      </c>
      <c r="O11" s="6" t="s">
        <v>23</v>
      </c>
      <c r="P11" s="8">
        <v>75000</v>
      </c>
    </row>
    <row r="12" spans="2:16" ht="35" customHeight="1" x14ac:dyDescent="0.35">
      <c r="J12" s="6" t="s">
        <v>54</v>
      </c>
      <c r="K12" s="12" t="s">
        <v>28</v>
      </c>
      <c r="L12" s="6" t="s">
        <v>55</v>
      </c>
      <c r="M12" s="6" t="s">
        <v>56</v>
      </c>
      <c r="N12" s="6" t="s">
        <v>57</v>
      </c>
      <c r="O12" s="6" t="s">
        <v>58</v>
      </c>
      <c r="P12" s="8">
        <v>10000</v>
      </c>
    </row>
    <row r="13" spans="2:16" x14ac:dyDescent="0.35">
      <c r="J13" s="6" t="s">
        <v>59</v>
      </c>
      <c r="K13" s="18" t="s">
        <v>60</v>
      </c>
      <c r="L13" s="6" t="s">
        <v>61</v>
      </c>
      <c r="M13" s="6" t="s">
        <v>62</v>
      </c>
      <c r="N13" s="6" t="s">
        <v>57</v>
      </c>
      <c r="O13" s="6" t="s">
        <v>32</v>
      </c>
      <c r="P13" s="8">
        <v>5000</v>
      </c>
    </row>
    <row r="14" spans="2:16" ht="15.5" x14ac:dyDescent="0.35">
      <c r="B14" s="144" t="s">
        <v>63</v>
      </c>
      <c r="C14" s="140"/>
      <c r="D14" s="140"/>
    </row>
    <row r="15" spans="2:16" x14ac:dyDescent="0.35">
      <c r="B15" s="19" t="s">
        <v>64</v>
      </c>
      <c r="C15" s="20" t="s">
        <v>65</v>
      </c>
    </row>
    <row r="16" spans="2:16" ht="18.5" x14ac:dyDescent="0.45">
      <c r="B16" s="21" t="s">
        <v>64</v>
      </c>
      <c r="C16" s="20" t="s">
        <v>66</v>
      </c>
      <c r="J16" s="146" t="s">
        <v>67</v>
      </c>
      <c r="K16" s="140"/>
      <c r="L16" s="140"/>
      <c r="M16" s="140"/>
      <c r="N16" s="140"/>
      <c r="O16" s="140"/>
      <c r="P16" s="140"/>
    </row>
    <row r="17" spans="2:17" x14ac:dyDescent="0.35">
      <c r="B17" s="22" t="s">
        <v>64</v>
      </c>
      <c r="C17" s="20" t="s">
        <v>68</v>
      </c>
      <c r="J17" s="23" t="s">
        <v>12</v>
      </c>
      <c r="K17" s="23" t="s">
        <v>69</v>
      </c>
      <c r="L17" s="23" t="s">
        <v>70</v>
      </c>
      <c r="M17" s="23" t="s">
        <v>71</v>
      </c>
      <c r="N17" s="23" t="s">
        <v>72</v>
      </c>
      <c r="O17" s="23" t="s">
        <v>73</v>
      </c>
      <c r="P17" s="23" t="s">
        <v>74</v>
      </c>
    </row>
    <row r="18" spans="2:17" x14ac:dyDescent="0.35">
      <c r="B18" s="24" t="s">
        <v>64</v>
      </c>
      <c r="C18" s="20" t="s">
        <v>75</v>
      </c>
      <c r="J18" s="25" t="s">
        <v>76</v>
      </c>
      <c r="K18" s="26">
        <v>125000</v>
      </c>
      <c r="L18" s="26">
        <v>45000</v>
      </c>
      <c r="M18" s="27">
        <v>6.5000000000000002E-2</v>
      </c>
      <c r="N18" s="28">
        <v>5500</v>
      </c>
      <c r="O18" s="29">
        <v>0.12</v>
      </c>
      <c r="P18" s="30" t="str">
        <f ca="1">AVERAGE(L18/100000,M18/50000,N18/0.1,O18/10000,P18/0.2)*100</f>
        <v/>
      </c>
    </row>
    <row r="19" spans="2:17" x14ac:dyDescent="0.35">
      <c r="B19" s="31" t="s">
        <v>64</v>
      </c>
      <c r="C19" s="20" t="s">
        <v>77</v>
      </c>
      <c r="J19" s="32" t="s">
        <v>78</v>
      </c>
      <c r="K19" s="26">
        <v>85000</v>
      </c>
      <c r="L19" s="26">
        <v>12000</v>
      </c>
      <c r="M19" s="27">
        <v>8.2000000000000003E-2</v>
      </c>
      <c r="N19" s="28">
        <v>1800</v>
      </c>
      <c r="O19" s="29">
        <v>0.08</v>
      </c>
      <c r="P19" s="30" t="str">
        <f ca="1">AVERAGE(L19/100000,M19/50000,N19/0.1,O19/10000,P19/0.2)*100</f>
        <v/>
      </c>
    </row>
    <row r="20" spans="2:17" x14ac:dyDescent="0.35">
      <c r="B20" s="33" t="s">
        <v>64</v>
      </c>
      <c r="C20" s="20" t="s">
        <v>79</v>
      </c>
      <c r="J20" s="34" t="s">
        <v>68</v>
      </c>
      <c r="K20" s="26">
        <v>250000</v>
      </c>
      <c r="L20" s="26">
        <v>85000</v>
      </c>
      <c r="M20" s="27">
        <v>9.5000000000000001E-2</v>
      </c>
      <c r="N20" s="28">
        <v>2200</v>
      </c>
      <c r="O20" s="29">
        <v>0.25</v>
      </c>
      <c r="P20" s="30" t="str">
        <f ca="1">AVERAGE(L20/100000,M20/50000,N20/0.1,O20/10000,P20/0.2)*100</f>
        <v/>
      </c>
    </row>
    <row r="21" spans="2:17" x14ac:dyDescent="0.35">
      <c r="J21" s="35" t="s">
        <v>75</v>
      </c>
      <c r="K21" s="26">
        <v>15000</v>
      </c>
      <c r="L21" s="26">
        <v>8000</v>
      </c>
      <c r="M21" s="27">
        <v>0.12</v>
      </c>
      <c r="N21" s="28">
        <v>1200</v>
      </c>
      <c r="O21" s="29">
        <v>0.05</v>
      </c>
      <c r="P21" s="30" t="str">
        <f ca="1">AVERAGE(L21/100000,M21/50000,N21/0.1,O21/10000,P21/0.2)*100</f>
        <v/>
      </c>
    </row>
    <row r="22" spans="2:17" ht="18.5" x14ac:dyDescent="0.45">
      <c r="B22" s="141" t="s">
        <v>80</v>
      </c>
      <c r="C22" s="140"/>
      <c r="D22" s="140"/>
      <c r="E22" s="140"/>
      <c r="F22" s="140"/>
      <c r="G22" s="140"/>
      <c r="H22" s="140"/>
      <c r="J22" s="36" t="s">
        <v>81</v>
      </c>
      <c r="K22" s="26">
        <v>8500</v>
      </c>
      <c r="L22" s="26">
        <v>450</v>
      </c>
      <c r="M22" s="27">
        <v>0.15</v>
      </c>
      <c r="N22" s="28">
        <v>800</v>
      </c>
      <c r="O22" s="29">
        <v>0.03</v>
      </c>
      <c r="P22" s="30" t="str">
        <f ca="1">AVERAGE(L22/100000,M22/50000,N22/0.1,O22/10000,P22/0.2)*100</f>
        <v/>
      </c>
    </row>
    <row r="23" spans="2:17" x14ac:dyDescent="0.35">
      <c r="B23" s="37" t="s">
        <v>82</v>
      </c>
      <c r="C23" s="37" t="s">
        <v>83</v>
      </c>
      <c r="D23" s="37" t="s">
        <v>84</v>
      </c>
      <c r="E23" s="37" t="s">
        <v>85</v>
      </c>
      <c r="F23" s="37" t="s">
        <v>15</v>
      </c>
      <c r="G23" s="37" t="s">
        <v>86</v>
      </c>
    </row>
    <row r="24" spans="2:17" ht="18.5" x14ac:dyDescent="0.45">
      <c r="B24" s="38" t="s">
        <v>87</v>
      </c>
      <c r="C24" s="39">
        <v>12</v>
      </c>
      <c r="D24" s="40">
        <v>10</v>
      </c>
      <c r="E24" s="41" t="e">
        <f t="shared" ref="E24:E29" si="0">C24/B24</f>
        <v>#VALUE!</v>
      </c>
      <c r="F24" s="38" t="str">
        <f t="shared" ref="F24:F29" si="1">IF(D24&gt;=0.9,"OK",IF(D24&gt;=0.7,"WARN","LOW"))</f>
        <v>OK</v>
      </c>
      <c r="G24" s="38" t="s">
        <v>88</v>
      </c>
      <c r="J24" s="153" t="s">
        <v>89</v>
      </c>
      <c r="K24" s="140"/>
      <c r="L24" s="140"/>
      <c r="M24" s="140"/>
      <c r="N24" s="140"/>
      <c r="O24" s="140"/>
      <c r="P24" s="140"/>
    </row>
    <row r="25" spans="2:17" x14ac:dyDescent="0.35">
      <c r="B25" s="38" t="s">
        <v>90</v>
      </c>
      <c r="C25" s="39">
        <v>500000</v>
      </c>
      <c r="D25" s="40">
        <v>485000</v>
      </c>
      <c r="E25" s="41" t="e">
        <f t="shared" si="0"/>
        <v>#VALUE!</v>
      </c>
      <c r="F25" s="38" t="str">
        <f t="shared" si="1"/>
        <v>OK</v>
      </c>
      <c r="G25" s="38" t="s">
        <v>88</v>
      </c>
      <c r="J25" s="148" t="s">
        <v>91</v>
      </c>
      <c r="K25" s="140"/>
      <c r="L25" s="150" t="s">
        <v>92</v>
      </c>
      <c r="M25" s="140"/>
      <c r="N25" s="149" t="s">
        <v>93</v>
      </c>
      <c r="O25" s="140"/>
      <c r="P25" s="151" t="s">
        <v>94</v>
      </c>
      <c r="Q25" s="140"/>
    </row>
    <row r="26" spans="2:17" ht="21" x14ac:dyDescent="0.5">
      <c r="B26" s="38" t="s">
        <v>95</v>
      </c>
      <c r="C26" s="39">
        <v>5000</v>
      </c>
      <c r="D26" s="40">
        <v>6200</v>
      </c>
      <c r="E26" s="41" t="e">
        <f t="shared" si="0"/>
        <v>#VALUE!</v>
      </c>
      <c r="F26" s="38" t="str">
        <f t="shared" si="1"/>
        <v>OK</v>
      </c>
      <c r="G26" s="38" t="s">
        <v>88</v>
      </c>
      <c r="J26" s="155">
        <f>SUM(L18:L22)</f>
        <v>150450</v>
      </c>
      <c r="K26" s="140"/>
      <c r="L26" s="142">
        <f>SUM(M18:M22)*4</f>
        <v>2.048</v>
      </c>
      <c r="M26" s="140"/>
      <c r="N26" s="139">
        <f>AVERAGE(N18:N22)</f>
        <v>2300</v>
      </c>
      <c r="O26" s="140"/>
      <c r="P26" s="143">
        <f>SUM(O18:O22)</f>
        <v>0.53</v>
      </c>
      <c r="Q26" s="140"/>
    </row>
    <row r="27" spans="2:17" x14ac:dyDescent="0.35">
      <c r="B27" s="38" t="s">
        <v>96</v>
      </c>
      <c r="C27" s="43">
        <v>0.08</v>
      </c>
      <c r="D27" s="44">
        <v>9.1999999999999998E-2</v>
      </c>
      <c r="E27" s="41" t="e">
        <f t="shared" si="0"/>
        <v>#VALUE!</v>
      </c>
      <c r="F27" s="38" t="str">
        <f t="shared" si="1"/>
        <v>LOW</v>
      </c>
      <c r="G27" s="38" t="s">
        <v>88</v>
      </c>
    </row>
    <row r="28" spans="2:17" x14ac:dyDescent="0.35">
      <c r="B28" s="38" t="s">
        <v>97</v>
      </c>
      <c r="C28" s="45">
        <v>8500</v>
      </c>
      <c r="D28" s="46">
        <v>9200</v>
      </c>
      <c r="E28" s="41" t="e">
        <f t="shared" si="0"/>
        <v>#VALUE!</v>
      </c>
      <c r="F28" s="38" t="str">
        <f t="shared" si="1"/>
        <v>OK</v>
      </c>
      <c r="G28" s="38" t="s">
        <v>88</v>
      </c>
    </row>
    <row r="29" spans="2:17" x14ac:dyDescent="0.35">
      <c r="B29" s="38" t="s">
        <v>98</v>
      </c>
      <c r="C29" s="39">
        <v>3</v>
      </c>
      <c r="D29" s="40">
        <v>4</v>
      </c>
      <c r="E29" s="41" t="e">
        <f t="shared" si="0"/>
        <v>#VALUE!</v>
      </c>
      <c r="F29" s="38" t="str">
        <f t="shared" si="1"/>
        <v>OK</v>
      </c>
      <c r="G29" s="38" t="s">
        <v>88</v>
      </c>
    </row>
  </sheetData>
  <mergeCells count="16">
    <mergeCell ref="B2:P2"/>
    <mergeCell ref="J16:P16"/>
    <mergeCell ref="B3:P3"/>
    <mergeCell ref="J25:K25"/>
    <mergeCell ref="N25:O25"/>
    <mergeCell ref="L25:M25"/>
    <mergeCell ref="P25:Q25"/>
    <mergeCell ref="J5:P5"/>
    <mergeCell ref="J24:P24"/>
    <mergeCell ref="B5:H5"/>
    <mergeCell ref="N26:O26"/>
    <mergeCell ref="B22:H22"/>
    <mergeCell ref="L26:M26"/>
    <mergeCell ref="P26:Q26"/>
    <mergeCell ref="B14:D14"/>
    <mergeCell ref="J26:K26"/>
  </mergeCells>
  <conditionalFormatting sqref="E24:E29">
    <cfRule type="dataBar" priority="1">
      <dataBar>
        <cfvo type="num" val="0"/>
        <cfvo type="num" val="1.5"/>
        <color rgb="FF00E676"/>
      </dataBar>
    </cfRule>
  </conditionalFormatting>
  <conditionalFormatting sqref="P18:P22">
    <cfRule type="colorScale" priority="2">
      <colorScale>
        <cfvo type="num" val="0"/>
        <cfvo type="num" val="50"/>
        <cfvo type="num" val="100"/>
        <color rgb="FFFFC7CE"/>
        <color rgb="FFFFEB9C"/>
        <color rgb="FF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2:R3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2" max="3" width="8" customWidth="1"/>
    <col min="4" max="12" width="14" customWidth="1"/>
  </cols>
  <sheetData>
    <row r="2" spans="2:18" ht="35" customHeight="1" x14ac:dyDescent="0.35">
      <c r="B2" s="166" t="s">
        <v>99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</row>
    <row r="3" spans="2:18" ht="20" customHeight="1" x14ac:dyDescent="0.35">
      <c r="B3" s="171" t="s">
        <v>100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</row>
    <row r="5" spans="2:18" ht="18.5" x14ac:dyDescent="0.45">
      <c r="B5" s="165" t="s">
        <v>101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N5" s="154" t="s">
        <v>102</v>
      </c>
      <c r="O5" s="140"/>
      <c r="P5" s="140"/>
      <c r="Q5" s="140"/>
      <c r="R5" s="140"/>
    </row>
    <row r="6" spans="2:18" x14ac:dyDescent="0.35">
      <c r="B6" s="47" t="s">
        <v>103</v>
      </c>
      <c r="C6" s="47" t="s">
        <v>104</v>
      </c>
      <c r="D6" s="47" t="s">
        <v>105</v>
      </c>
      <c r="E6" s="47" t="s">
        <v>106</v>
      </c>
      <c r="F6" s="47" t="s">
        <v>107</v>
      </c>
      <c r="G6" s="47" t="s">
        <v>108</v>
      </c>
      <c r="H6" s="47" t="s">
        <v>109</v>
      </c>
      <c r="I6" s="47" t="s">
        <v>110</v>
      </c>
      <c r="J6" s="47" t="s">
        <v>111</v>
      </c>
      <c r="K6" s="47" t="s">
        <v>72</v>
      </c>
      <c r="L6" s="47" t="s">
        <v>74</v>
      </c>
      <c r="N6" s="48" t="s">
        <v>112</v>
      </c>
      <c r="O6" s="48" t="s">
        <v>113</v>
      </c>
      <c r="P6" s="48" t="s">
        <v>70</v>
      </c>
      <c r="Q6" s="48" t="s">
        <v>114</v>
      </c>
      <c r="R6" s="48" t="s">
        <v>115</v>
      </c>
    </row>
    <row r="7" spans="2:18" ht="15.5" x14ac:dyDescent="0.35">
      <c r="B7" s="49">
        <v>1</v>
      </c>
      <c r="C7" s="38" t="s">
        <v>116</v>
      </c>
      <c r="D7" s="38" t="s">
        <v>117</v>
      </c>
      <c r="E7" s="39">
        <v>285000</v>
      </c>
      <c r="F7" s="39">
        <v>18500</v>
      </c>
      <c r="G7" s="39">
        <v>2400</v>
      </c>
      <c r="H7" s="39">
        <v>42000</v>
      </c>
      <c r="I7" s="43">
        <v>8.5000000000000006E-2</v>
      </c>
      <c r="J7" s="41">
        <v>0.52</v>
      </c>
      <c r="K7" s="45">
        <f t="shared" ref="K7:K16" si="0">E7*0.004</f>
        <v>1140</v>
      </c>
      <c r="L7" s="50">
        <f t="shared" ref="L7:L16" si="1">((E7/300000)+(F7/20000)+(G7/3000)+(I7/0.1)+(J7/0.6))/5*100</f>
        <v>87.833333333333329</v>
      </c>
      <c r="N7" s="51" t="s">
        <v>118</v>
      </c>
      <c r="O7" s="38">
        <v>25</v>
      </c>
      <c r="P7" s="39">
        <v>85000</v>
      </c>
      <c r="Q7" s="45">
        <v>8500</v>
      </c>
      <c r="R7" s="43">
        <f t="shared" ref="R7:R12" si="2">Q7/27280</f>
        <v>0.31158357771260997</v>
      </c>
    </row>
    <row r="8" spans="2:18" ht="15.5" x14ac:dyDescent="0.35">
      <c r="B8" s="52">
        <v>2</v>
      </c>
      <c r="C8" s="38" t="s">
        <v>119</v>
      </c>
      <c r="D8" s="38" t="s">
        <v>120</v>
      </c>
      <c r="E8" s="39">
        <v>215000</v>
      </c>
      <c r="F8" s="39">
        <v>15200</v>
      </c>
      <c r="G8" s="39">
        <v>3100</v>
      </c>
      <c r="H8" s="39">
        <v>38000</v>
      </c>
      <c r="I8" s="43">
        <v>7.1999999999999995E-2</v>
      </c>
      <c r="J8" s="41">
        <v>0.48</v>
      </c>
      <c r="K8" s="45">
        <f t="shared" si="0"/>
        <v>860</v>
      </c>
      <c r="L8" s="50">
        <f t="shared" si="1"/>
        <v>80.59999999999998</v>
      </c>
      <c r="N8" s="53" t="s">
        <v>121</v>
      </c>
      <c r="O8" s="38">
        <v>18</v>
      </c>
      <c r="P8" s="39">
        <v>65000</v>
      </c>
      <c r="Q8" s="45">
        <v>4680</v>
      </c>
      <c r="R8" s="43">
        <f t="shared" si="2"/>
        <v>0.17155425219941348</v>
      </c>
    </row>
    <row r="9" spans="2:18" ht="15.5" x14ac:dyDescent="0.35">
      <c r="B9" s="54">
        <v>3</v>
      </c>
      <c r="C9" s="38" t="s">
        <v>122</v>
      </c>
      <c r="D9" s="38" t="s">
        <v>123</v>
      </c>
      <c r="E9" s="39">
        <v>185000</v>
      </c>
      <c r="F9" s="39">
        <v>12800</v>
      </c>
      <c r="G9" s="39">
        <v>1850</v>
      </c>
      <c r="H9" s="39">
        <v>35000</v>
      </c>
      <c r="I9" s="43">
        <v>6.8000000000000005E-2</v>
      </c>
      <c r="J9" s="41">
        <v>0.55000000000000004</v>
      </c>
      <c r="K9" s="45">
        <f t="shared" si="0"/>
        <v>740</v>
      </c>
      <c r="L9" s="50">
        <f t="shared" si="1"/>
        <v>69.40000000000002</v>
      </c>
      <c r="N9" s="55" t="s">
        <v>124</v>
      </c>
      <c r="O9" s="38">
        <v>12</v>
      </c>
      <c r="P9" s="39">
        <v>95000</v>
      </c>
      <c r="Q9" s="45">
        <v>4560</v>
      </c>
      <c r="R9" s="43">
        <f t="shared" si="2"/>
        <v>0.16715542521994134</v>
      </c>
    </row>
    <row r="10" spans="2:18" ht="15.5" x14ac:dyDescent="0.35">
      <c r="B10" s="56">
        <v>4</v>
      </c>
      <c r="C10" s="38" t="s">
        <v>125</v>
      </c>
      <c r="D10" s="38" t="s">
        <v>126</v>
      </c>
      <c r="E10" s="39">
        <v>165000</v>
      </c>
      <c r="F10" s="39">
        <v>14500</v>
      </c>
      <c r="G10" s="39">
        <v>2200</v>
      </c>
      <c r="H10" s="39">
        <v>28000</v>
      </c>
      <c r="I10" s="43">
        <v>9.1999999999999998E-2</v>
      </c>
      <c r="J10" s="41">
        <v>0.42</v>
      </c>
      <c r="K10" s="45">
        <f t="shared" si="0"/>
        <v>660</v>
      </c>
      <c r="L10" s="50">
        <f t="shared" si="1"/>
        <v>72.566666666666663</v>
      </c>
      <c r="N10" s="57" t="s">
        <v>127</v>
      </c>
      <c r="O10" s="38">
        <v>45</v>
      </c>
      <c r="P10" s="39">
        <v>25000</v>
      </c>
      <c r="Q10" s="45">
        <v>4500</v>
      </c>
      <c r="R10" s="43">
        <f t="shared" si="2"/>
        <v>0.16495601173020527</v>
      </c>
    </row>
    <row r="11" spans="2:18" ht="15.5" x14ac:dyDescent="0.35">
      <c r="B11" s="56">
        <v>5</v>
      </c>
      <c r="C11" s="38" t="s">
        <v>128</v>
      </c>
      <c r="D11" s="38" t="s">
        <v>129</v>
      </c>
      <c r="E11" s="39">
        <v>145000</v>
      </c>
      <c r="F11" s="39">
        <v>9800</v>
      </c>
      <c r="G11" s="39">
        <v>1200</v>
      </c>
      <c r="H11" s="39">
        <v>25000</v>
      </c>
      <c r="I11" s="43">
        <v>5.8000000000000003E-2</v>
      </c>
      <c r="J11" s="41">
        <v>0.38</v>
      </c>
      <c r="K11" s="45">
        <f t="shared" si="0"/>
        <v>580</v>
      </c>
      <c r="L11" s="50">
        <f t="shared" si="1"/>
        <v>51.733333333333341</v>
      </c>
      <c r="N11" s="58" t="s">
        <v>130</v>
      </c>
      <c r="O11" s="38">
        <v>8</v>
      </c>
      <c r="P11" s="39">
        <v>120000</v>
      </c>
      <c r="Q11" s="45">
        <v>3840</v>
      </c>
      <c r="R11" s="43">
        <f t="shared" si="2"/>
        <v>0.14076246334310852</v>
      </c>
    </row>
    <row r="12" spans="2:18" ht="15.5" x14ac:dyDescent="0.35">
      <c r="B12" s="56">
        <v>6</v>
      </c>
      <c r="C12" s="38" t="s">
        <v>131</v>
      </c>
      <c r="D12" s="38" t="s">
        <v>132</v>
      </c>
      <c r="E12" s="39">
        <v>125000</v>
      </c>
      <c r="F12" s="39">
        <v>11200</v>
      </c>
      <c r="G12" s="39">
        <v>1650</v>
      </c>
      <c r="H12" s="39">
        <v>22000</v>
      </c>
      <c r="I12" s="43">
        <v>6.5000000000000002E-2</v>
      </c>
      <c r="J12" s="41">
        <v>0.45</v>
      </c>
      <c r="K12" s="45">
        <f t="shared" si="0"/>
        <v>500</v>
      </c>
      <c r="L12" s="50">
        <f t="shared" si="1"/>
        <v>58.533333333333339</v>
      </c>
      <c r="N12" s="59" t="s">
        <v>133</v>
      </c>
      <c r="O12" s="38">
        <v>20</v>
      </c>
      <c r="P12" s="39">
        <v>15000</v>
      </c>
      <c r="Q12" s="45">
        <v>1200</v>
      </c>
      <c r="R12" s="43">
        <f t="shared" si="2"/>
        <v>4.398826979472141E-2</v>
      </c>
    </row>
    <row r="13" spans="2:18" ht="15.5" x14ac:dyDescent="0.35">
      <c r="B13" s="56">
        <v>7</v>
      </c>
      <c r="C13" s="38" t="s">
        <v>134</v>
      </c>
      <c r="D13" s="38" t="s">
        <v>135</v>
      </c>
      <c r="E13" s="39">
        <v>115000</v>
      </c>
      <c r="F13" s="39">
        <v>10500</v>
      </c>
      <c r="G13" s="39">
        <v>980</v>
      </c>
      <c r="H13" s="39">
        <v>18000</v>
      </c>
      <c r="I13" s="43">
        <v>7.8E-2</v>
      </c>
      <c r="J13" s="41">
        <v>0.35</v>
      </c>
      <c r="K13" s="45">
        <f t="shared" si="0"/>
        <v>460</v>
      </c>
      <c r="L13" s="50">
        <f t="shared" si="1"/>
        <v>51.966666666666669</v>
      </c>
    </row>
    <row r="14" spans="2:18" ht="18.5" x14ac:dyDescent="0.45">
      <c r="B14" s="56">
        <v>8</v>
      </c>
      <c r="C14" s="38" t="s">
        <v>136</v>
      </c>
      <c r="D14" s="38" t="s">
        <v>137</v>
      </c>
      <c r="E14" s="39">
        <v>98000</v>
      </c>
      <c r="F14" s="39">
        <v>8900</v>
      </c>
      <c r="G14" s="39">
        <v>1450</v>
      </c>
      <c r="H14" s="39">
        <v>15000</v>
      </c>
      <c r="I14" s="43">
        <v>8.2000000000000003E-2</v>
      </c>
      <c r="J14" s="41">
        <v>0.4</v>
      </c>
      <c r="K14" s="45">
        <f t="shared" si="0"/>
        <v>392</v>
      </c>
      <c r="L14" s="50">
        <f t="shared" si="1"/>
        <v>54.833333333333343</v>
      </c>
      <c r="N14" s="141" t="s">
        <v>138</v>
      </c>
      <c r="O14" s="140"/>
      <c r="P14" s="140"/>
      <c r="Q14" s="140"/>
      <c r="R14" s="140"/>
    </row>
    <row r="15" spans="2:18" ht="18.5" x14ac:dyDescent="0.45">
      <c r="B15" s="56">
        <v>9</v>
      </c>
      <c r="C15" s="38" t="s">
        <v>139</v>
      </c>
      <c r="D15" s="38" t="s">
        <v>140</v>
      </c>
      <c r="E15" s="39">
        <v>85000</v>
      </c>
      <c r="F15" s="39">
        <v>9200</v>
      </c>
      <c r="G15" s="39">
        <v>2800</v>
      </c>
      <c r="H15" s="39">
        <v>14000</v>
      </c>
      <c r="I15" s="43">
        <v>9.5000000000000001E-2</v>
      </c>
      <c r="J15" s="41">
        <v>0.48</v>
      </c>
      <c r="K15" s="45">
        <f t="shared" si="0"/>
        <v>340</v>
      </c>
      <c r="L15" s="50">
        <f t="shared" si="1"/>
        <v>68.533333333333331</v>
      </c>
      <c r="N15" s="156" t="s">
        <v>141</v>
      </c>
      <c r="O15" s="157"/>
      <c r="P15" s="158"/>
      <c r="Q15" s="163">
        <f>SUM(F7:F16)/SUM(E7:E16)</f>
        <v>7.8120805369127522E-2</v>
      </c>
      <c r="R15" s="158"/>
    </row>
    <row r="16" spans="2:18" ht="18.5" x14ac:dyDescent="0.45">
      <c r="B16" s="56">
        <v>10</v>
      </c>
      <c r="C16" s="38" t="s">
        <v>142</v>
      </c>
      <c r="D16" s="38" t="s">
        <v>143</v>
      </c>
      <c r="E16" s="39">
        <v>72000</v>
      </c>
      <c r="F16" s="39">
        <v>5800</v>
      </c>
      <c r="G16" s="39">
        <v>650</v>
      </c>
      <c r="H16" s="39">
        <v>10000</v>
      </c>
      <c r="I16" s="43">
        <v>5.5E-2</v>
      </c>
      <c r="J16" s="41">
        <v>0.32</v>
      </c>
      <c r="K16" s="45">
        <f t="shared" si="0"/>
        <v>288</v>
      </c>
      <c r="L16" s="50">
        <f t="shared" si="1"/>
        <v>36.6</v>
      </c>
      <c r="N16" s="160" t="s">
        <v>144</v>
      </c>
      <c r="O16" s="157"/>
      <c r="P16" s="158"/>
      <c r="Q16" s="159">
        <f>SUM(G7:G16)/SUM(E7:E16)</f>
        <v>1.2268456375838926E-2</v>
      </c>
      <c r="R16" s="158"/>
    </row>
    <row r="17" spans="2:18" ht="18.5" x14ac:dyDescent="0.45">
      <c r="N17" s="167" t="s">
        <v>145</v>
      </c>
      <c r="O17" s="157"/>
      <c r="P17" s="158"/>
      <c r="Q17" s="161">
        <f>AVERAGE(H7:H16)</f>
        <v>24700</v>
      </c>
      <c r="R17" s="158"/>
    </row>
    <row r="18" spans="2:18" ht="18.5" x14ac:dyDescent="0.45">
      <c r="N18" s="164" t="s">
        <v>146</v>
      </c>
      <c r="O18" s="157"/>
      <c r="P18" s="158"/>
      <c r="Q18" s="169">
        <f>AVERAGE(I7:I16)</f>
        <v>7.4999999999999997E-2</v>
      </c>
      <c r="R18" s="158"/>
    </row>
    <row r="19" spans="2:18" ht="18.5" x14ac:dyDescent="0.45">
      <c r="B19" s="152" t="s">
        <v>147</v>
      </c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62" t="s">
        <v>148</v>
      </c>
      <c r="O19" s="157"/>
      <c r="P19" s="158"/>
      <c r="Q19" s="170">
        <f>AVERAGE(J7:J16)</f>
        <v>0.43500000000000005</v>
      </c>
      <c r="R19" s="158"/>
    </row>
    <row r="20" spans="2:18" x14ac:dyDescent="0.35">
      <c r="B20" s="60" t="s">
        <v>82</v>
      </c>
      <c r="C20" s="60" t="s">
        <v>149</v>
      </c>
      <c r="D20" s="60" t="s">
        <v>150</v>
      </c>
      <c r="E20" s="60" t="s">
        <v>151</v>
      </c>
      <c r="F20" s="60" t="s">
        <v>152</v>
      </c>
      <c r="G20" s="60" t="s">
        <v>153</v>
      </c>
      <c r="H20" s="60" t="s">
        <v>154</v>
      </c>
      <c r="I20" s="60" t="s">
        <v>155</v>
      </c>
      <c r="J20" s="60" t="s">
        <v>156</v>
      </c>
      <c r="K20" s="60" t="s">
        <v>157</v>
      </c>
      <c r="L20" s="60" t="s">
        <v>158</v>
      </c>
      <c r="M20" s="60" t="s">
        <v>159</v>
      </c>
      <c r="N20" s="60" t="s">
        <v>160</v>
      </c>
    </row>
    <row r="21" spans="2:18" x14ac:dyDescent="0.35">
      <c r="B21" s="61" t="s">
        <v>161</v>
      </c>
      <c r="C21" s="26">
        <v>8</v>
      </c>
      <c r="D21" s="26">
        <v>10</v>
      </c>
      <c r="E21" s="26">
        <v>9</v>
      </c>
      <c r="F21" s="26">
        <v>12</v>
      </c>
      <c r="G21" s="26">
        <v>11</v>
      </c>
      <c r="H21" s="26">
        <v>10</v>
      </c>
      <c r="I21" s="26">
        <v>8</v>
      </c>
      <c r="J21" s="26">
        <v>9</v>
      </c>
      <c r="K21" s="26">
        <v>11</v>
      </c>
      <c r="L21" s="26">
        <v>12</v>
      </c>
      <c r="M21" s="26">
        <v>10</v>
      </c>
      <c r="N21" s="26">
        <v>14</v>
      </c>
    </row>
    <row r="22" spans="2:18" x14ac:dyDescent="0.35">
      <c r="B22" s="62" t="s">
        <v>162</v>
      </c>
      <c r="C22" s="26">
        <v>320</v>
      </c>
      <c r="D22" s="26">
        <v>380</v>
      </c>
      <c r="E22" s="26">
        <v>350</v>
      </c>
      <c r="F22" s="26">
        <v>420</v>
      </c>
      <c r="G22" s="26">
        <v>450</v>
      </c>
      <c r="H22" s="26">
        <v>410</v>
      </c>
      <c r="I22" s="26">
        <v>380</v>
      </c>
      <c r="J22" s="26">
        <v>400</v>
      </c>
      <c r="K22" s="26">
        <v>480</v>
      </c>
      <c r="L22" s="26">
        <v>520</v>
      </c>
      <c r="M22" s="26">
        <v>490</v>
      </c>
      <c r="N22" s="26">
        <v>580</v>
      </c>
    </row>
    <row r="23" spans="2:18" x14ac:dyDescent="0.35">
      <c r="B23" s="63" t="s">
        <v>163</v>
      </c>
      <c r="C23" s="26">
        <v>45</v>
      </c>
      <c r="D23" s="26">
        <v>52</v>
      </c>
      <c r="E23" s="26">
        <v>48</v>
      </c>
      <c r="F23" s="26">
        <v>58</v>
      </c>
      <c r="G23" s="26">
        <v>62</v>
      </c>
      <c r="H23" s="26">
        <v>55</v>
      </c>
      <c r="I23" s="26">
        <v>50</v>
      </c>
      <c r="J23" s="26">
        <v>54</v>
      </c>
      <c r="K23" s="26">
        <v>65</v>
      </c>
      <c r="L23" s="26">
        <v>72</v>
      </c>
      <c r="M23" s="26">
        <v>68</v>
      </c>
      <c r="N23" s="26">
        <v>82</v>
      </c>
    </row>
    <row r="24" spans="2:18" x14ac:dyDescent="0.35">
      <c r="B24" s="64" t="s">
        <v>164</v>
      </c>
      <c r="C24" s="26">
        <v>2800</v>
      </c>
      <c r="D24" s="26">
        <v>3200</v>
      </c>
      <c r="E24" s="26">
        <v>3000</v>
      </c>
      <c r="F24" s="26">
        <v>4100</v>
      </c>
      <c r="G24" s="26">
        <v>4500</v>
      </c>
      <c r="H24" s="26">
        <v>3800</v>
      </c>
      <c r="I24" s="26">
        <v>3400</v>
      </c>
      <c r="J24" s="26">
        <v>3600</v>
      </c>
      <c r="K24" s="26">
        <v>4800</v>
      </c>
      <c r="L24" s="26">
        <v>5200</v>
      </c>
      <c r="M24" s="26">
        <v>4900</v>
      </c>
      <c r="N24" s="26">
        <v>6200</v>
      </c>
    </row>
    <row r="25" spans="2:18" x14ac:dyDescent="0.35">
      <c r="B25" s="65" t="s">
        <v>97</v>
      </c>
      <c r="C25" s="28">
        <v>4200</v>
      </c>
      <c r="D25" s="28">
        <v>5100</v>
      </c>
      <c r="E25" s="28">
        <v>4800</v>
      </c>
      <c r="F25" s="28">
        <v>5800</v>
      </c>
      <c r="G25" s="28">
        <v>6200</v>
      </c>
      <c r="H25" s="28">
        <v>5600</v>
      </c>
      <c r="I25" s="28">
        <v>5100</v>
      </c>
      <c r="J25" s="28">
        <v>5400</v>
      </c>
      <c r="K25" s="28">
        <v>6500</v>
      </c>
      <c r="L25" s="28">
        <v>7200</v>
      </c>
      <c r="M25" s="28">
        <v>6800</v>
      </c>
      <c r="N25" s="28">
        <v>8200</v>
      </c>
    </row>
    <row r="28" spans="2:18" ht="18.5" x14ac:dyDescent="0.45">
      <c r="B28" s="153" t="s">
        <v>165</v>
      </c>
      <c r="C28" s="140"/>
      <c r="D28" s="140"/>
      <c r="E28" s="140"/>
      <c r="F28" s="140"/>
      <c r="G28" s="140"/>
    </row>
    <row r="29" spans="2:18" x14ac:dyDescent="0.35">
      <c r="B29" s="66" t="s">
        <v>166</v>
      </c>
      <c r="C29" s="66" t="s">
        <v>167</v>
      </c>
      <c r="D29" s="66" t="s">
        <v>168</v>
      </c>
      <c r="E29" s="66" t="s">
        <v>169</v>
      </c>
      <c r="F29" s="66" t="s">
        <v>170</v>
      </c>
    </row>
    <row r="30" spans="2:18" x14ac:dyDescent="0.35">
      <c r="B30" s="38" t="s">
        <v>171</v>
      </c>
      <c r="C30" s="41">
        <v>0.2</v>
      </c>
      <c r="D30" s="30">
        <v>8</v>
      </c>
      <c r="E30" s="67">
        <f t="shared" ref="E30:E35" si="3">C30*D30</f>
        <v>1.6</v>
      </c>
      <c r="F30" s="38">
        <v>10</v>
      </c>
    </row>
    <row r="31" spans="2:18" x14ac:dyDescent="0.35">
      <c r="B31" s="38" t="s">
        <v>172</v>
      </c>
      <c r="C31" s="41">
        <v>0.25</v>
      </c>
      <c r="D31" s="30">
        <v>9</v>
      </c>
      <c r="E31" s="67">
        <f t="shared" si="3"/>
        <v>2.25</v>
      </c>
      <c r="F31" s="38">
        <v>10</v>
      </c>
    </row>
    <row r="32" spans="2:18" x14ac:dyDescent="0.35">
      <c r="B32" s="38" t="s">
        <v>173</v>
      </c>
      <c r="C32" s="41">
        <v>0.2</v>
      </c>
      <c r="D32" s="30">
        <v>7</v>
      </c>
      <c r="E32" s="67">
        <f t="shared" si="3"/>
        <v>1.4000000000000001</v>
      </c>
      <c r="F32" s="38">
        <v>10</v>
      </c>
    </row>
    <row r="33" spans="2:6" x14ac:dyDescent="0.35">
      <c r="B33" s="38" t="s">
        <v>174</v>
      </c>
      <c r="C33" s="41">
        <v>0.15</v>
      </c>
      <c r="D33" s="30">
        <v>9</v>
      </c>
      <c r="E33" s="67">
        <f t="shared" si="3"/>
        <v>1.3499999999999999</v>
      </c>
      <c r="F33" s="38">
        <v>10</v>
      </c>
    </row>
    <row r="34" spans="2:6" x14ac:dyDescent="0.35">
      <c r="B34" s="38" t="s">
        <v>175</v>
      </c>
      <c r="C34" s="41">
        <v>0.1</v>
      </c>
      <c r="D34" s="30">
        <v>6</v>
      </c>
      <c r="E34" s="67">
        <f t="shared" si="3"/>
        <v>0.60000000000000009</v>
      </c>
      <c r="F34" s="38">
        <v>10</v>
      </c>
    </row>
    <row r="35" spans="2:6" x14ac:dyDescent="0.35">
      <c r="B35" s="38" t="s">
        <v>176</v>
      </c>
      <c r="C35" s="41">
        <v>0.1</v>
      </c>
      <c r="D35" s="30">
        <v>8</v>
      </c>
      <c r="E35" s="67">
        <f t="shared" si="3"/>
        <v>0.8</v>
      </c>
      <c r="F35" s="38">
        <v>10</v>
      </c>
    </row>
    <row r="36" spans="2:6" ht="21" x14ac:dyDescent="0.5">
      <c r="B36" s="168" t="s">
        <v>177</v>
      </c>
      <c r="C36" s="140"/>
      <c r="D36" s="68">
        <f>SUM(E30:E35)*10</f>
        <v>79.999999999999986</v>
      </c>
    </row>
  </sheetData>
  <mergeCells count="18">
    <mergeCell ref="B5:L5"/>
    <mergeCell ref="B2:R2"/>
    <mergeCell ref="N17:P17"/>
    <mergeCell ref="B36:C36"/>
    <mergeCell ref="Q18:R18"/>
    <mergeCell ref="Q19:R19"/>
    <mergeCell ref="B3:R3"/>
    <mergeCell ref="N14:R14"/>
    <mergeCell ref="N5:R5"/>
    <mergeCell ref="N15:P15"/>
    <mergeCell ref="Q16:R16"/>
    <mergeCell ref="B28:G28"/>
    <mergeCell ref="N16:P16"/>
    <mergeCell ref="Q17:R17"/>
    <mergeCell ref="N19:P19"/>
    <mergeCell ref="B19:M19"/>
    <mergeCell ref="Q15:R15"/>
    <mergeCell ref="N18:P18"/>
  </mergeCells>
  <conditionalFormatting sqref="C21:N21">
    <cfRule type="colorScale" priority="3">
      <colorScale>
        <cfvo type="min"/>
        <cfvo type="percentile" val="50"/>
        <cfvo type="max"/>
        <color rgb="FFFFFFFF"/>
        <color rgb="FF90CAF9"/>
        <color rgb="FF1E88E5"/>
      </colorScale>
    </cfRule>
  </conditionalFormatting>
  <conditionalFormatting sqref="C22:N22">
    <cfRule type="colorScale" priority="4">
      <colorScale>
        <cfvo type="min"/>
        <cfvo type="percentile" val="50"/>
        <cfvo type="max"/>
        <color rgb="FFFFFFFF"/>
        <color rgb="FFCE93D8"/>
        <color rgb="FF8E24AA"/>
      </colorScale>
    </cfRule>
  </conditionalFormatting>
  <conditionalFormatting sqref="C23:N23">
    <cfRule type="colorScale" priority="5">
      <colorScale>
        <cfvo type="min"/>
        <cfvo type="percentile" val="50"/>
        <cfvo type="max"/>
        <color rgb="FFFFFFFF"/>
        <color rgb="FFA5D6A7"/>
        <color rgb="FF43A047"/>
      </colorScale>
    </cfRule>
  </conditionalFormatting>
  <conditionalFormatting sqref="C24:N24">
    <cfRule type="colorScale" priority="6">
      <colorScale>
        <cfvo type="min"/>
        <cfvo type="percentile" val="50"/>
        <cfvo type="max"/>
        <color rgb="FFFFFFFF"/>
        <color rgb="FFFFCC80"/>
        <color rgb="FFFB8C00"/>
      </colorScale>
    </cfRule>
  </conditionalFormatting>
  <conditionalFormatting sqref="C25:N25">
    <cfRule type="colorScale" priority="7">
      <colorScale>
        <cfvo type="min"/>
        <cfvo type="percentile" val="50"/>
        <cfvo type="max"/>
        <color rgb="FFFFFFFF"/>
        <color rgb="FFF48FB1"/>
        <color rgb="FFD81B60"/>
      </colorScale>
    </cfRule>
  </conditionalFormatting>
  <conditionalFormatting sqref="E7:E16">
    <cfRule type="colorScale" priority="1">
      <colorScale>
        <cfvo type="min"/>
        <cfvo type="percentile" val="50"/>
        <cfvo type="max"/>
        <color rgb="FFFFEBEE"/>
        <color rgb="FFEF9A9A"/>
        <color rgb="FFFF0000"/>
      </colorScale>
    </cfRule>
  </conditionalFormatting>
  <conditionalFormatting sqref="L7:L16">
    <cfRule type="dataBar" priority="2">
      <dataBar>
        <cfvo type="num" val="0"/>
        <cfvo type="num" val="100"/>
        <color rgb="FFFF0000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93D"/>
  </sheetPr>
  <dimension ref="B2:R3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2" max="18" width="14" customWidth="1"/>
  </cols>
  <sheetData>
    <row r="2" spans="2:18" ht="35" customHeight="1" x14ac:dyDescent="0.35">
      <c r="B2" s="177" t="s">
        <v>178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</row>
    <row r="3" spans="2:18" ht="20" customHeight="1" x14ac:dyDescent="0.35">
      <c r="B3" s="179" t="s">
        <v>179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</row>
    <row r="5" spans="2:18" ht="18.5" x14ac:dyDescent="0.45">
      <c r="B5" s="178" t="s">
        <v>180</v>
      </c>
      <c r="C5" s="140"/>
      <c r="D5" s="140"/>
      <c r="E5" s="140"/>
      <c r="F5" s="140"/>
      <c r="G5" s="140"/>
      <c r="H5" s="140"/>
      <c r="I5" s="140"/>
      <c r="K5" s="154" t="s">
        <v>181</v>
      </c>
      <c r="L5" s="140"/>
      <c r="M5" s="140"/>
      <c r="N5" s="140"/>
      <c r="O5" s="140"/>
      <c r="P5" s="140"/>
      <c r="Q5" s="140"/>
      <c r="R5" s="140"/>
    </row>
    <row r="6" spans="2:18" x14ac:dyDescent="0.35">
      <c r="B6" s="69" t="s">
        <v>182</v>
      </c>
      <c r="C6" s="69" t="s">
        <v>149</v>
      </c>
      <c r="D6" s="69" t="s">
        <v>150</v>
      </c>
      <c r="E6" s="69" t="s">
        <v>151</v>
      </c>
      <c r="F6" s="69" t="s">
        <v>183</v>
      </c>
      <c r="G6" s="69" t="s">
        <v>184</v>
      </c>
      <c r="H6" s="69" t="s">
        <v>73</v>
      </c>
      <c r="I6" s="69" t="s">
        <v>15</v>
      </c>
      <c r="K6" s="48" t="s">
        <v>185</v>
      </c>
      <c r="L6" s="48" t="s">
        <v>186</v>
      </c>
      <c r="M6" s="48" t="s">
        <v>12</v>
      </c>
      <c r="N6" s="48" t="s">
        <v>187</v>
      </c>
      <c r="O6" s="48" t="s">
        <v>15</v>
      </c>
      <c r="P6" s="48" t="s">
        <v>188</v>
      </c>
      <c r="Q6" s="48" t="s">
        <v>189</v>
      </c>
      <c r="R6" s="48" t="s">
        <v>190</v>
      </c>
    </row>
    <row r="7" spans="2:18" x14ac:dyDescent="0.35">
      <c r="B7" s="70" t="s">
        <v>191</v>
      </c>
      <c r="C7" s="45">
        <v>4200</v>
      </c>
      <c r="D7" s="45">
        <v>4800</v>
      </c>
      <c r="E7" s="45">
        <v>5100</v>
      </c>
      <c r="F7" s="46">
        <f t="shared" ref="F7:F14" si="0">SUM(C7:E7)</f>
        <v>14100</v>
      </c>
      <c r="G7" s="43">
        <f>F7/F15</f>
        <v>0.21979734996102884</v>
      </c>
      <c r="H7" s="71">
        <v>0.08</v>
      </c>
      <c r="I7" s="38" t="s">
        <v>192</v>
      </c>
      <c r="K7" s="38" t="s">
        <v>193</v>
      </c>
      <c r="L7" s="38" t="s">
        <v>194</v>
      </c>
      <c r="M7" s="38" t="s">
        <v>19</v>
      </c>
      <c r="N7" s="46">
        <v>5000</v>
      </c>
      <c r="O7" s="72" t="s">
        <v>195</v>
      </c>
      <c r="P7" s="38" t="s">
        <v>196</v>
      </c>
      <c r="Q7" s="38" t="s">
        <v>197</v>
      </c>
      <c r="R7" s="73">
        <v>2.5</v>
      </c>
    </row>
    <row r="8" spans="2:18" x14ac:dyDescent="0.35">
      <c r="B8" s="74" t="s">
        <v>198</v>
      </c>
      <c r="C8" s="45">
        <v>3500</v>
      </c>
      <c r="D8" s="45">
        <v>4200</v>
      </c>
      <c r="E8" s="45">
        <v>5500</v>
      </c>
      <c r="F8" s="46">
        <f t="shared" si="0"/>
        <v>13200</v>
      </c>
      <c r="G8" s="43">
        <f>F8/F15</f>
        <v>0.20576773187840997</v>
      </c>
      <c r="H8" s="71">
        <v>0.15</v>
      </c>
      <c r="I8" s="38" t="s">
        <v>199</v>
      </c>
      <c r="K8" s="38" t="s">
        <v>200</v>
      </c>
      <c r="L8" s="38" t="s">
        <v>201</v>
      </c>
      <c r="M8" s="38" t="s">
        <v>19</v>
      </c>
      <c r="N8" s="46">
        <v>3500</v>
      </c>
      <c r="O8" s="75" t="s">
        <v>202</v>
      </c>
      <c r="P8" s="38" t="s">
        <v>203</v>
      </c>
      <c r="Q8" s="38" t="s">
        <v>204</v>
      </c>
      <c r="R8" s="73">
        <v>2</v>
      </c>
    </row>
    <row r="9" spans="2:18" x14ac:dyDescent="0.35">
      <c r="B9" s="76" t="s">
        <v>205</v>
      </c>
      <c r="C9" s="45">
        <v>1800</v>
      </c>
      <c r="D9" s="45">
        <v>2100</v>
      </c>
      <c r="E9" s="45">
        <v>2400</v>
      </c>
      <c r="F9" s="46">
        <f t="shared" si="0"/>
        <v>6300</v>
      </c>
      <c r="G9" s="43">
        <f>F9/F15</f>
        <v>9.8207326578332033E-2</v>
      </c>
      <c r="H9" s="71">
        <v>0.1</v>
      </c>
      <c r="I9" s="38" t="s">
        <v>206</v>
      </c>
      <c r="K9" s="38" t="s">
        <v>207</v>
      </c>
      <c r="L9" s="38" t="s">
        <v>208</v>
      </c>
      <c r="M9" s="38" t="s">
        <v>209</v>
      </c>
      <c r="N9" s="46">
        <v>4200</v>
      </c>
      <c r="O9" s="77" t="s">
        <v>210</v>
      </c>
      <c r="P9" s="38" t="s">
        <v>211</v>
      </c>
      <c r="Q9" s="38" t="s">
        <v>212</v>
      </c>
      <c r="R9" s="73">
        <v>1.8</v>
      </c>
    </row>
    <row r="10" spans="2:18" x14ac:dyDescent="0.35">
      <c r="B10" s="78" t="s">
        <v>213</v>
      </c>
      <c r="C10" s="45">
        <v>2200</v>
      </c>
      <c r="D10" s="45">
        <v>2500</v>
      </c>
      <c r="E10" s="45">
        <v>2800</v>
      </c>
      <c r="F10" s="46">
        <f t="shared" si="0"/>
        <v>7500</v>
      </c>
      <c r="G10" s="43">
        <f>F10/F15</f>
        <v>0.11691348402182385</v>
      </c>
      <c r="H10" s="71">
        <v>0.09</v>
      </c>
      <c r="I10" s="38" t="s">
        <v>206</v>
      </c>
      <c r="K10" s="38" t="s">
        <v>214</v>
      </c>
      <c r="L10" s="38" t="s">
        <v>215</v>
      </c>
      <c r="M10" s="38" t="s">
        <v>19</v>
      </c>
      <c r="N10" s="46">
        <v>12000</v>
      </c>
      <c r="O10" s="77" t="s">
        <v>210</v>
      </c>
      <c r="P10" s="38" t="s">
        <v>216</v>
      </c>
      <c r="Q10" s="38" t="s">
        <v>217</v>
      </c>
      <c r="R10" s="73">
        <v>3</v>
      </c>
    </row>
    <row r="11" spans="2:18" x14ac:dyDescent="0.35">
      <c r="B11" s="79" t="s">
        <v>218</v>
      </c>
      <c r="C11" s="45">
        <v>1500</v>
      </c>
      <c r="D11" s="45">
        <v>1800</v>
      </c>
      <c r="E11" s="45">
        <v>2200</v>
      </c>
      <c r="F11" s="46">
        <f t="shared" si="0"/>
        <v>5500</v>
      </c>
      <c r="G11" s="43">
        <f>F11/F15</f>
        <v>8.573655494933749E-2</v>
      </c>
      <c r="H11" s="71">
        <v>0.12</v>
      </c>
      <c r="I11" s="38" t="s">
        <v>192</v>
      </c>
      <c r="K11" s="38" t="s">
        <v>219</v>
      </c>
      <c r="L11" s="38" t="s">
        <v>220</v>
      </c>
      <c r="M11" s="38" t="s">
        <v>28</v>
      </c>
      <c r="N11" s="46">
        <v>2500</v>
      </c>
      <c r="O11" s="80" t="s">
        <v>221</v>
      </c>
      <c r="P11" s="38" t="s">
        <v>222</v>
      </c>
      <c r="Q11" s="38" t="s">
        <v>223</v>
      </c>
      <c r="R11" s="73">
        <v>4</v>
      </c>
    </row>
    <row r="12" spans="2:18" x14ac:dyDescent="0.35">
      <c r="B12" s="81" t="s">
        <v>224</v>
      </c>
      <c r="C12" s="45">
        <v>3000</v>
      </c>
      <c r="D12" s="45">
        <v>3500</v>
      </c>
      <c r="E12" s="45">
        <v>4000</v>
      </c>
      <c r="F12" s="46">
        <f t="shared" si="0"/>
        <v>10500</v>
      </c>
      <c r="G12" s="43">
        <f>F12/F15</f>
        <v>0.16367887763055339</v>
      </c>
      <c r="H12" s="71">
        <v>0.11</v>
      </c>
      <c r="I12" s="38" t="s">
        <v>206</v>
      </c>
      <c r="K12" s="38" t="s">
        <v>225</v>
      </c>
      <c r="L12" s="38" t="s">
        <v>226</v>
      </c>
      <c r="M12" s="38" t="s">
        <v>227</v>
      </c>
      <c r="N12" s="46">
        <v>8000</v>
      </c>
      <c r="O12" s="82" t="s">
        <v>228</v>
      </c>
      <c r="P12" s="38" t="s">
        <v>229</v>
      </c>
      <c r="Q12" s="38" t="s">
        <v>230</v>
      </c>
      <c r="R12" s="73">
        <v>2.2000000000000002</v>
      </c>
    </row>
    <row r="13" spans="2:18" x14ac:dyDescent="0.35">
      <c r="B13" s="83" t="s">
        <v>231</v>
      </c>
      <c r="C13" s="45">
        <v>800</v>
      </c>
      <c r="D13" s="45">
        <v>950</v>
      </c>
      <c r="E13" s="45">
        <v>1100</v>
      </c>
      <c r="F13" s="46">
        <f t="shared" si="0"/>
        <v>2850</v>
      </c>
      <c r="G13" s="43">
        <f>F13/F15</f>
        <v>4.4427123928293066E-2</v>
      </c>
      <c r="H13" s="71">
        <v>0.08</v>
      </c>
      <c r="I13" s="38" t="s">
        <v>232</v>
      </c>
    </row>
    <row r="14" spans="2:18" x14ac:dyDescent="0.35">
      <c r="B14" s="84" t="s">
        <v>233</v>
      </c>
      <c r="C14" s="45">
        <v>1200</v>
      </c>
      <c r="D14" s="45">
        <v>1400</v>
      </c>
      <c r="E14" s="45">
        <v>1600</v>
      </c>
      <c r="F14" s="46">
        <f t="shared" si="0"/>
        <v>4200</v>
      </c>
      <c r="G14" s="43">
        <f>F14/F15</f>
        <v>6.5471551052221355E-2</v>
      </c>
      <c r="H14" s="71">
        <v>0.1</v>
      </c>
      <c r="I14" s="38" t="s">
        <v>206</v>
      </c>
      <c r="K14" s="180" t="s">
        <v>234</v>
      </c>
      <c r="L14" s="140"/>
    </row>
    <row r="15" spans="2:18" x14ac:dyDescent="0.35">
      <c r="B15" s="85" t="s">
        <v>235</v>
      </c>
      <c r="C15" s="86">
        <f>SUM(C7:C14)</f>
        <v>18200</v>
      </c>
      <c r="D15" s="86">
        <f>SUM(D7:D14)</f>
        <v>21250</v>
      </c>
      <c r="E15" s="86">
        <f>SUM(E7:E14)</f>
        <v>24700</v>
      </c>
      <c r="F15" s="86">
        <f>SUM(F7:F14)</f>
        <v>64150</v>
      </c>
      <c r="K15" s="172" t="s">
        <v>236</v>
      </c>
      <c r="L15" s="140"/>
      <c r="M15" s="175">
        <f>SUM(N7:N12)</f>
        <v>35200</v>
      </c>
      <c r="N15" s="140"/>
    </row>
    <row r="16" spans="2:18" x14ac:dyDescent="0.35">
      <c r="K16" s="172" t="s">
        <v>237</v>
      </c>
      <c r="L16" s="140"/>
      <c r="M16" s="175">
        <f>AVERAGE(N7:N12)</f>
        <v>5866.666666666667</v>
      </c>
      <c r="N16" s="140"/>
    </row>
    <row r="17" spans="2:18" x14ac:dyDescent="0.35">
      <c r="K17" s="172" t="s">
        <v>238</v>
      </c>
      <c r="L17" s="140"/>
      <c r="M17" s="173">
        <f>COUNTIF(O7:O12,"*Completed*")</f>
        <v>1</v>
      </c>
      <c r="N17" s="140"/>
    </row>
    <row r="18" spans="2:18" ht="18.5" x14ac:dyDescent="0.45">
      <c r="B18" s="152" t="s">
        <v>239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</row>
    <row r="19" spans="2:18" x14ac:dyDescent="0.35">
      <c r="B19" s="60" t="s">
        <v>182</v>
      </c>
      <c r="C19" s="60" t="s">
        <v>149</v>
      </c>
      <c r="D19" s="60" t="s">
        <v>150</v>
      </c>
      <c r="E19" s="60" t="s">
        <v>151</v>
      </c>
      <c r="F19" s="60" t="s">
        <v>152</v>
      </c>
      <c r="G19" s="60" t="s">
        <v>153</v>
      </c>
      <c r="H19" s="60" t="s">
        <v>154</v>
      </c>
      <c r="I19" s="60" t="s">
        <v>155</v>
      </c>
      <c r="J19" s="60" t="s">
        <v>156</v>
      </c>
      <c r="K19" s="60" t="s">
        <v>157</v>
      </c>
      <c r="L19" s="60" t="s">
        <v>158</v>
      </c>
      <c r="M19" s="60" t="s">
        <v>159</v>
      </c>
      <c r="N19" s="60" t="s">
        <v>160</v>
      </c>
      <c r="O19" s="60" t="s">
        <v>240</v>
      </c>
    </row>
    <row r="20" spans="2:18" ht="18.5" x14ac:dyDescent="0.45">
      <c r="B20" s="70" t="s">
        <v>241</v>
      </c>
      <c r="C20" s="87">
        <v>3800</v>
      </c>
      <c r="D20" s="87">
        <v>4100</v>
      </c>
      <c r="E20" s="87">
        <v>4200</v>
      </c>
      <c r="F20" s="87">
        <v>4500</v>
      </c>
      <c r="G20" s="87">
        <v>4800</v>
      </c>
      <c r="H20" s="87">
        <v>5100</v>
      </c>
      <c r="I20" s="87">
        <v>4800</v>
      </c>
      <c r="J20" s="87">
        <v>5200</v>
      </c>
      <c r="K20" s="176" t="s">
        <v>242</v>
      </c>
      <c r="L20" s="157"/>
      <c r="M20" s="157"/>
      <c r="N20" s="157"/>
      <c r="O20" s="157"/>
      <c r="P20" s="157"/>
      <c r="Q20" s="157"/>
      <c r="R20" s="158"/>
    </row>
    <row r="21" spans="2:18" x14ac:dyDescent="0.35">
      <c r="B21" s="74" t="s">
        <v>243</v>
      </c>
      <c r="C21" s="87">
        <v>2500</v>
      </c>
      <c r="D21" s="87">
        <v>3000</v>
      </c>
      <c r="E21" s="87">
        <v>3500</v>
      </c>
      <c r="F21" s="87">
        <v>4000</v>
      </c>
      <c r="G21" s="87">
        <v>4200</v>
      </c>
      <c r="H21" s="87">
        <v>4500</v>
      </c>
      <c r="I21" s="87">
        <v>5000</v>
      </c>
      <c r="J21" s="87">
        <v>4800</v>
      </c>
      <c r="K21" s="88" t="s">
        <v>244</v>
      </c>
      <c r="L21" s="88" t="s">
        <v>186</v>
      </c>
      <c r="M21" s="88" t="s">
        <v>245</v>
      </c>
      <c r="N21" s="88" t="s">
        <v>246</v>
      </c>
      <c r="O21" s="88" t="s">
        <v>247</v>
      </c>
      <c r="P21" s="23" t="s">
        <v>248</v>
      </c>
      <c r="Q21" s="23" t="s">
        <v>249</v>
      </c>
    </row>
    <row r="22" spans="2:18" x14ac:dyDescent="0.35">
      <c r="B22" s="76" t="s">
        <v>250</v>
      </c>
      <c r="C22" s="87">
        <v>1200</v>
      </c>
      <c r="D22" s="87">
        <v>1400</v>
      </c>
      <c r="E22" s="87">
        <v>1800</v>
      </c>
      <c r="F22" s="87">
        <v>2000</v>
      </c>
      <c r="G22" s="87">
        <v>2100</v>
      </c>
      <c r="H22" s="87">
        <v>2200</v>
      </c>
      <c r="I22" s="87">
        <v>2400</v>
      </c>
      <c r="J22" s="87">
        <v>2500</v>
      </c>
      <c r="K22" s="87" t="s">
        <v>251</v>
      </c>
      <c r="L22" s="87" t="s">
        <v>252</v>
      </c>
      <c r="M22" s="89">
        <v>2200</v>
      </c>
      <c r="N22" s="87" t="s">
        <v>253</v>
      </c>
      <c r="O22" s="46" t="s">
        <v>254</v>
      </c>
      <c r="P22" s="38" t="s">
        <v>255</v>
      </c>
      <c r="Q22" s="45">
        <f t="shared" ref="Q22:Q27" si="1">M22*12</f>
        <v>26400</v>
      </c>
    </row>
    <row r="23" spans="2:18" x14ac:dyDescent="0.35">
      <c r="B23" s="78" t="s">
        <v>256</v>
      </c>
      <c r="C23" s="87">
        <v>800</v>
      </c>
      <c r="D23" s="87">
        <v>1000</v>
      </c>
      <c r="E23" s="87">
        <v>1500</v>
      </c>
      <c r="F23" s="87">
        <v>1800</v>
      </c>
      <c r="G23" s="87">
        <v>2000</v>
      </c>
      <c r="H23" s="87">
        <v>2200</v>
      </c>
      <c r="I23" s="87">
        <v>2400</v>
      </c>
      <c r="J23" s="87">
        <v>2500</v>
      </c>
      <c r="K23" s="87" t="s">
        <v>257</v>
      </c>
      <c r="L23" s="87" t="s">
        <v>258</v>
      </c>
      <c r="M23" s="89">
        <v>1800</v>
      </c>
      <c r="N23" s="87" t="s">
        <v>253</v>
      </c>
      <c r="O23" s="46" t="s">
        <v>259</v>
      </c>
      <c r="P23" s="38" t="s">
        <v>260</v>
      </c>
      <c r="Q23" s="45">
        <f t="shared" si="1"/>
        <v>21600</v>
      </c>
    </row>
    <row r="24" spans="2:18" x14ac:dyDescent="0.35">
      <c r="B24" s="90" t="s">
        <v>261</v>
      </c>
      <c r="C24" s="91">
        <f t="shared" ref="C24:J24" si="2">SUM(C20:C23)</f>
        <v>8300</v>
      </c>
      <c r="D24" s="91">
        <f t="shared" si="2"/>
        <v>9500</v>
      </c>
      <c r="E24" s="91">
        <f t="shared" si="2"/>
        <v>11000</v>
      </c>
      <c r="F24" s="91">
        <f t="shared" si="2"/>
        <v>12300</v>
      </c>
      <c r="G24" s="91">
        <f t="shared" si="2"/>
        <v>13100</v>
      </c>
      <c r="H24" s="91">
        <f t="shared" si="2"/>
        <v>14000</v>
      </c>
      <c r="I24" s="91">
        <f t="shared" si="2"/>
        <v>14600</v>
      </c>
      <c r="J24" s="91">
        <f t="shared" si="2"/>
        <v>15000</v>
      </c>
      <c r="K24" s="91" t="s">
        <v>262</v>
      </c>
      <c r="L24" s="91" t="s">
        <v>256</v>
      </c>
      <c r="M24" s="91">
        <v>1500</v>
      </c>
      <c r="N24" s="91" t="s">
        <v>253</v>
      </c>
      <c r="O24" s="91" t="s">
        <v>263</v>
      </c>
      <c r="P24" s="38" t="s">
        <v>260</v>
      </c>
      <c r="Q24" s="45">
        <f t="shared" si="1"/>
        <v>18000</v>
      </c>
    </row>
    <row r="25" spans="2:18" x14ac:dyDescent="0.35">
      <c r="K25" s="38" t="s">
        <v>264</v>
      </c>
      <c r="L25" s="38" t="s">
        <v>265</v>
      </c>
      <c r="M25" s="46">
        <v>3200</v>
      </c>
      <c r="N25" s="38" t="s">
        <v>266</v>
      </c>
      <c r="O25" s="38" t="s">
        <v>263</v>
      </c>
      <c r="P25" s="38" t="s">
        <v>255</v>
      </c>
      <c r="Q25" s="45">
        <f t="shared" si="1"/>
        <v>38400</v>
      </c>
    </row>
    <row r="26" spans="2:18" x14ac:dyDescent="0.35">
      <c r="K26" s="38" t="s">
        <v>267</v>
      </c>
      <c r="L26" s="38" t="s">
        <v>268</v>
      </c>
      <c r="M26" s="46">
        <v>800</v>
      </c>
      <c r="N26" s="38" t="s">
        <v>253</v>
      </c>
      <c r="O26" s="38" t="s">
        <v>254</v>
      </c>
      <c r="P26" s="38" t="s">
        <v>269</v>
      </c>
      <c r="Q26" s="45">
        <f t="shared" si="1"/>
        <v>9600</v>
      </c>
    </row>
    <row r="27" spans="2:18" ht="18.5" x14ac:dyDescent="0.45">
      <c r="B27" s="141" t="s">
        <v>270</v>
      </c>
      <c r="C27" s="140"/>
      <c r="D27" s="140"/>
      <c r="E27" s="140"/>
      <c r="F27" s="140"/>
      <c r="G27" s="140"/>
      <c r="H27" s="140"/>
      <c r="I27" s="140"/>
      <c r="K27" s="38" t="s">
        <v>271</v>
      </c>
      <c r="L27" s="38" t="s">
        <v>272</v>
      </c>
      <c r="M27" s="46">
        <v>400</v>
      </c>
      <c r="N27" s="38" t="s">
        <v>253</v>
      </c>
      <c r="O27" s="38" t="s">
        <v>273</v>
      </c>
      <c r="P27" s="38" t="s">
        <v>269</v>
      </c>
      <c r="Q27" s="45">
        <f t="shared" si="1"/>
        <v>4800</v>
      </c>
    </row>
    <row r="28" spans="2:18" ht="18.5" x14ac:dyDescent="0.45">
      <c r="B28" s="37" t="s">
        <v>83</v>
      </c>
      <c r="C28" s="37" t="s">
        <v>274</v>
      </c>
      <c r="D28" s="37" t="s">
        <v>275</v>
      </c>
      <c r="E28" s="37" t="s">
        <v>85</v>
      </c>
      <c r="F28" s="37" t="s">
        <v>276</v>
      </c>
      <c r="G28" s="37" t="s">
        <v>15</v>
      </c>
      <c r="H28" s="37" t="s">
        <v>277</v>
      </c>
      <c r="I28" s="37" t="s">
        <v>278</v>
      </c>
      <c r="K28" s="174" t="s">
        <v>279</v>
      </c>
      <c r="L28" s="140"/>
      <c r="M28" s="92">
        <f>SUM(M22:M27)</f>
        <v>9900</v>
      </c>
    </row>
    <row r="29" spans="2:18" ht="18.5" x14ac:dyDescent="0.45">
      <c r="B29" s="38" t="s">
        <v>280</v>
      </c>
      <c r="C29" s="45">
        <v>150000</v>
      </c>
      <c r="D29" s="46">
        <v>45200</v>
      </c>
      <c r="E29" s="41">
        <f>D29/C29</f>
        <v>0.30133333333333334</v>
      </c>
      <c r="F29" s="45">
        <f>C29-D29</f>
        <v>104800</v>
      </c>
      <c r="G29" s="38" t="str">
        <f>IF(E29&gt;=0.9,"GREAT",IF(E29&gt;=0.7,"GOOD",IF(E29&gt;=0.5,"WARN","LOW")))</f>
        <v>LOW</v>
      </c>
      <c r="H29" s="38" t="s">
        <v>281</v>
      </c>
      <c r="I29" s="38" t="str">
        <f>IF(E29&gt;=0.25,"Yes","Behind")</f>
        <v>Yes</v>
      </c>
      <c r="K29" s="174" t="s">
        <v>282</v>
      </c>
      <c r="L29" s="140"/>
      <c r="M29" s="92">
        <f>SUM(Q22:Q27)</f>
        <v>118800</v>
      </c>
    </row>
    <row r="30" spans="2:18" x14ac:dyDescent="0.35">
      <c r="B30" s="38" t="s">
        <v>283</v>
      </c>
      <c r="C30" s="39">
        <v>200000</v>
      </c>
      <c r="D30" s="40">
        <v>125000</v>
      </c>
      <c r="E30" s="41">
        <f>D30/C30</f>
        <v>0.625</v>
      </c>
      <c r="F30" s="39">
        <f>C30-D30</f>
        <v>75000</v>
      </c>
      <c r="G30" s="38" t="str">
        <f>IF(E30&gt;=0.9,"GREAT",IF(E30&gt;=0.7,"GOOD",IF(E30&gt;=0.5,"WARN","LOW")))</f>
        <v>WARN</v>
      </c>
      <c r="H30" s="38" t="s">
        <v>284</v>
      </c>
      <c r="I30" s="38" t="str">
        <f>IF(E30&gt;=0.25,"Yes","Behind")</f>
        <v>Yes</v>
      </c>
    </row>
    <row r="31" spans="2:18" x14ac:dyDescent="0.35">
      <c r="B31" s="38" t="s">
        <v>98</v>
      </c>
      <c r="C31" s="45">
        <v>75000</v>
      </c>
      <c r="D31" s="46">
        <v>18200</v>
      </c>
      <c r="E31" s="41">
        <f>D31/C31</f>
        <v>0.24266666666666667</v>
      </c>
      <c r="F31" s="45">
        <f>C31-D31</f>
        <v>56800</v>
      </c>
      <c r="G31" s="38" t="str">
        <f>IF(E31&gt;=0.9,"GREAT",IF(E31&gt;=0.7,"GOOD",IF(E31&gt;=0.5,"WARN","LOW")))</f>
        <v>LOW</v>
      </c>
      <c r="H31" s="38" t="s">
        <v>284</v>
      </c>
      <c r="I31" s="38" t="str">
        <f>IF(E31&gt;=0.25,"Yes","Behind")</f>
        <v>Behind</v>
      </c>
    </row>
    <row r="32" spans="2:18" x14ac:dyDescent="0.35">
      <c r="B32" s="38" t="s">
        <v>285</v>
      </c>
      <c r="C32" s="45">
        <v>50000</v>
      </c>
      <c r="D32" s="46">
        <v>12500</v>
      </c>
      <c r="E32" s="41">
        <f>D32/C32</f>
        <v>0.25</v>
      </c>
      <c r="F32" s="45">
        <f>C32-D32</f>
        <v>37500</v>
      </c>
      <c r="G32" s="38" t="str">
        <f>IF(E32&gt;=0.9,"GREAT",IF(E32&gt;=0.7,"GOOD",IF(E32&gt;=0.5,"WARN","LOW")))</f>
        <v>LOW</v>
      </c>
      <c r="H32" s="38" t="s">
        <v>284</v>
      </c>
      <c r="I32" s="38" t="str">
        <f>IF(E32&gt;=0.25,"Yes","Behind")</f>
        <v>Yes</v>
      </c>
    </row>
    <row r="33" spans="2:9" x14ac:dyDescent="0.35">
      <c r="B33" s="38" t="s">
        <v>286</v>
      </c>
      <c r="C33" s="39">
        <v>25000</v>
      </c>
      <c r="D33" s="40">
        <v>8500</v>
      </c>
      <c r="E33" s="41">
        <f>D33/C33</f>
        <v>0.34</v>
      </c>
      <c r="F33" s="39">
        <f>C33-D33</f>
        <v>16500</v>
      </c>
      <c r="G33" s="38" t="str">
        <f>IF(E33&gt;=0.9,"GREAT",IF(E33&gt;=0.7,"GOOD",IF(E33&gt;=0.5,"WARN","LOW")))</f>
        <v>LOW</v>
      </c>
      <c r="H33" s="38" t="s">
        <v>284</v>
      </c>
      <c r="I33" s="38" t="str">
        <f>IF(E33&gt;=0.25,"Yes","Behind")</f>
        <v>Yes</v>
      </c>
    </row>
  </sheetData>
  <mergeCells count="16">
    <mergeCell ref="B2:R2"/>
    <mergeCell ref="B5:I5"/>
    <mergeCell ref="K5:R5"/>
    <mergeCell ref="B3:R3"/>
    <mergeCell ref="B27:I27"/>
    <mergeCell ref="K14:L14"/>
    <mergeCell ref="K17:L17"/>
    <mergeCell ref="M16:N16"/>
    <mergeCell ref="K16:L16"/>
    <mergeCell ref="M17:N17"/>
    <mergeCell ref="K29:L29"/>
    <mergeCell ref="M15:N15"/>
    <mergeCell ref="K20:R20"/>
    <mergeCell ref="K15:L15"/>
    <mergeCell ref="B18:N18"/>
    <mergeCell ref="K28:L28"/>
  </mergeCells>
  <conditionalFormatting sqref="C20:N20">
    <cfRule type="colorScale" priority="2">
      <colorScale>
        <cfvo type="min"/>
        <cfvo type="max"/>
        <color rgb="FFFFFFFF"/>
        <color rgb="FFFF0000"/>
      </colorScale>
    </cfRule>
  </conditionalFormatting>
  <conditionalFormatting sqref="C21:N21">
    <cfRule type="colorScale" priority="3">
      <colorScale>
        <cfvo type="min"/>
        <cfvo type="max"/>
        <color rgb="FFFFFFFF"/>
        <color rgb="FFFFD93D"/>
      </colorScale>
    </cfRule>
  </conditionalFormatting>
  <conditionalFormatting sqref="C22:N22">
    <cfRule type="colorScale" priority="4">
      <colorScale>
        <cfvo type="min"/>
        <cfvo type="max"/>
        <color rgb="FFFFFFFF"/>
        <color rgb="FF00E676"/>
      </colorScale>
    </cfRule>
  </conditionalFormatting>
  <conditionalFormatting sqref="C23:N23">
    <cfRule type="colorScale" priority="5">
      <colorScale>
        <cfvo type="min"/>
        <cfvo type="max"/>
        <color rgb="FFFFFFFF"/>
        <color rgb="FF9B59B6"/>
      </colorScale>
    </cfRule>
  </conditionalFormatting>
  <conditionalFormatting sqref="E29:E33">
    <cfRule type="dataBar" priority="6">
      <dataBar>
        <cfvo type="num" val="0"/>
        <cfvo type="num" val="1"/>
        <color rgb="FF00E676"/>
      </dataBar>
    </cfRule>
  </conditionalFormatting>
  <conditionalFormatting sqref="F7:F14">
    <cfRule type="dataBar" priority="1">
      <dataBar>
        <cfvo type="num" val="0"/>
        <cfvo type="max"/>
        <color rgb="FFFFD93D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CD4"/>
  </sheetPr>
  <dimension ref="B2:R3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2" max="18" width="13" customWidth="1"/>
  </cols>
  <sheetData>
    <row r="2" spans="2:18" ht="35" customHeight="1" x14ac:dyDescent="0.35">
      <c r="B2" s="182" t="s">
        <v>287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</row>
    <row r="3" spans="2:18" ht="20" customHeight="1" x14ac:dyDescent="0.35">
      <c r="B3" s="184" t="s">
        <v>288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</row>
    <row r="5" spans="2:18" ht="18.5" x14ac:dyDescent="0.45">
      <c r="B5" s="152" t="s">
        <v>289</v>
      </c>
      <c r="C5" s="140"/>
      <c r="D5" s="140"/>
      <c r="E5" s="140"/>
      <c r="F5" s="140"/>
      <c r="G5" s="140"/>
      <c r="H5" s="140"/>
      <c r="J5" s="141" t="s">
        <v>290</v>
      </c>
      <c r="K5" s="140"/>
      <c r="L5" s="140"/>
      <c r="M5" s="140"/>
      <c r="N5" s="140"/>
      <c r="O5" s="140"/>
      <c r="P5" s="140"/>
      <c r="Q5" s="140"/>
      <c r="R5" s="140"/>
    </row>
    <row r="6" spans="2:18" x14ac:dyDescent="0.35">
      <c r="B6" s="180" t="s">
        <v>291</v>
      </c>
      <c r="C6" s="140"/>
      <c r="D6" s="140"/>
      <c r="F6" s="180" t="s">
        <v>292</v>
      </c>
      <c r="G6" s="140"/>
      <c r="H6" s="140"/>
      <c r="J6" s="37" t="s">
        <v>293</v>
      </c>
      <c r="K6" s="37" t="s">
        <v>294</v>
      </c>
      <c r="L6" s="37" t="s">
        <v>295</v>
      </c>
      <c r="M6" s="37" t="s">
        <v>296</v>
      </c>
      <c r="N6" s="37" t="s">
        <v>72</v>
      </c>
      <c r="O6" s="37" t="s">
        <v>73</v>
      </c>
      <c r="P6" s="37" t="s">
        <v>297</v>
      </c>
    </row>
    <row r="7" spans="2:18" x14ac:dyDescent="0.35">
      <c r="B7" s="38" t="s">
        <v>298</v>
      </c>
      <c r="C7" s="41">
        <v>0.08</v>
      </c>
      <c r="D7" s="93"/>
      <c r="F7" s="38" t="s">
        <v>299</v>
      </c>
      <c r="G7" s="94">
        <v>0.57999999999999996</v>
      </c>
      <c r="J7" s="95" t="s">
        <v>300</v>
      </c>
      <c r="K7" s="39">
        <v>45000</v>
      </c>
      <c r="L7" s="43">
        <v>0.36</v>
      </c>
      <c r="M7" s="96">
        <v>8.5</v>
      </c>
      <c r="N7" s="45">
        <v>4200</v>
      </c>
      <c r="O7" s="97">
        <v>0.12</v>
      </c>
      <c r="P7" s="38" t="s">
        <v>301</v>
      </c>
    </row>
    <row r="8" spans="2:18" x14ac:dyDescent="0.35">
      <c r="B8" s="38" t="s">
        <v>302</v>
      </c>
      <c r="C8" s="41">
        <v>0.32</v>
      </c>
      <c r="D8" s="80"/>
      <c r="F8" s="38" t="s">
        <v>303</v>
      </c>
      <c r="G8" s="98">
        <v>0.38</v>
      </c>
      <c r="J8" s="63" t="s">
        <v>304</v>
      </c>
      <c r="K8" s="39">
        <v>18000</v>
      </c>
      <c r="L8" s="43">
        <v>0.14399999999999999</v>
      </c>
      <c r="M8" s="96">
        <v>7.8</v>
      </c>
      <c r="N8" s="45">
        <v>1500</v>
      </c>
      <c r="O8" s="97">
        <v>0.08</v>
      </c>
      <c r="P8" s="38" t="s">
        <v>305</v>
      </c>
    </row>
    <row r="9" spans="2:18" x14ac:dyDescent="0.35">
      <c r="B9" s="38" t="s">
        <v>306</v>
      </c>
      <c r="C9" s="41">
        <v>0.35</v>
      </c>
      <c r="D9" s="99"/>
      <c r="F9" s="38" t="s">
        <v>307</v>
      </c>
      <c r="G9" s="100">
        <v>0.04</v>
      </c>
      <c r="J9" s="101" t="s">
        <v>308</v>
      </c>
      <c r="K9" s="39">
        <v>12000</v>
      </c>
      <c r="L9" s="43">
        <v>9.6000000000000002E-2</v>
      </c>
      <c r="M9" s="96">
        <v>8.1999999999999993</v>
      </c>
      <c r="N9" s="45">
        <v>1100</v>
      </c>
      <c r="O9" s="97">
        <v>0.1</v>
      </c>
      <c r="P9" s="38" t="s">
        <v>305</v>
      </c>
    </row>
    <row r="10" spans="2:18" x14ac:dyDescent="0.35">
      <c r="B10" s="38" t="s">
        <v>309</v>
      </c>
      <c r="C10" s="41">
        <v>0.15</v>
      </c>
      <c r="D10" s="102"/>
      <c r="J10" s="101" t="s">
        <v>310</v>
      </c>
      <c r="K10" s="39">
        <v>9500</v>
      </c>
      <c r="L10" s="43">
        <v>7.5999999999999998E-2</v>
      </c>
      <c r="M10" s="96">
        <v>7.5</v>
      </c>
      <c r="N10" s="45">
        <v>850</v>
      </c>
      <c r="O10" s="97">
        <v>0.15</v>
      </c>
      <c r="P10" s="38" t="s">
        <v>305</v>
      </c>
    </row>
    <row r="11" spans="2:18" x14ac:dyDescent="0.35">
      <c r="B11" s="38" t="s">
        <v>311</v>
      </c>
      <c r="C11" s="41">
        <v>7.0000000000000007E-2</v>
      </c>
      <c r="D11" s="103"/>
      <c r="J11" s="101" t="s">
        <v>312</v>
      </c>
      <c r="K11" s="39">
        <v>7500</v>
      </c>
      <c r="L11" s="43">
        <v>0.06</v>
      </c>
      <c r="M11" s="96">
        <v>6.5</v>
      </c>
      <c r="N11" s="45">
        <v>580</v>
      </c>
      <c r="O11" s="97">
        <v>0.05</v>
      </c>
      <c r="P11" s="38" t="s">
        <v>313</v>
      </c>
    </row>
    <row r="12" spans="2:18" x14ac:dyDescent="0.35">
      <c r="B12" s="38" t="s">
        <v>314</v>
      </c>
      <c r="C12" s="41">
        <v>0.03</v>
      </c>
      <c r="D12" s="103"/>
      <c r="J12" s="63" t="s">
        <v>315</v>
      </c>
      <c r="K12" s="39">
        <v>15000</v>
      </c>
      <c r="L12" s="43">
        <v>0.12</v>
      </c>
      <c r="M12" s="96">
        <v>4.2</v>
      </c>
      <c r="N12" s="45">
        <v>320</v>
      </c>
      <c r="O12" s="97">
        <v>0.25</v>
      </c>
      <c r="P12" s="38" t="s">
        <v>313</v>
      </c>
    </row>
    <row r="13" spans="2:18" x14ac:dyDescent="0.35">
      <c r="J13" s="101" t="s">
        <v>316</v>
      </c>
      <c r="K13" s="39">
        <v>6500</v>
      </c>
      <c r="L13" s="43">
        <v>5.1999999999999998E-2</v>
      </c>
      <c r="M13" s="96">
        <v>5.8</v>
      </c>
      <c r="N13" s="45">
        <v>280</v>
      </c>
      <c r="O13" s="97">
        <v>0.18</v>
      </c>
      <c r="P13" s="38" t="s">
        <v>313</v>
      </c>
    </row>
    <row r="14" spans="2:18" x14ac:dyDescent="0.35">
      <c r="J14" s="101" t="s">
        <v>317</v>
      </c>
      <c r="K14" s="39">
        <v>11500</v>
      </c>
      <c r="L14" s="43">
        <v>9.1999999999999998E-2</v>
      </c>
      <c r="M14" s="96">
        <v>5</v>
      </c>
      <c r="N14" s="45">
        <v>670</v>
      </c>
      <c r="O14" s="97">
        <v>0.08</v>
      </c>
      <c r="P14" s="38" t="s">
        <v>318</v>
      </c>
    </row>
    <row r="15" spans="2:18" ht="18.5" x14ac:dyDescent="0.45">
      <c r="B15" s="146" t="s">
        <v>319</v>
      </c>
      <c r="C15" s="140"/>
      <c r="D15" s="140"/>
      <c r="E15" s="140"/>
      <c r="F15" s="140"/>
      <c r="G15" s="140"/>
      <c r="H15" s="140"/>
    </row>
    <row r="16" spans="2:18" ht="18.5" x14ac:dyDescent="0.45">
      <c r="B16" s="183" t="s">
        <v>320</v>
      </c>
      <c r="C16" s="140"/>
      <c r="D16" s="140"/>
      <c r="E16" s="140"/>
      <c r="F16" s="140"/>
      <c r="G16" s="140"/>
      <c r="H16" s="140"/>
      <c r="J16" s="154" t="s">
        <v>321</v>
      </c>
      <c r="K16" s="140"/>
      <c r="L16" s="140"/>
      <c r="M16" s="140"/>
      <c r="N16" s="140"/>
      <c r="O16" s="140"/>
      <c r="P16" s="140"/>
      <c r="Q16" s="140"/>
      <c r="R16" s="140"/>
    </row>
    <row r="17" spans="2:18" x14ac:dyDescent="0.35">
      <c r="B17" s="104"/>
      <c r="C17" s="42" t="s">
        <v>4</v>
      </c>
      <c r="D17" s="42" t="s">
        <v>5</v>
      </c>
      <c r="E17" s="42" t="s">
        <v>6</v>
      </c>
      <c r="F17" s="42" t="s">
        <v>7</v>
      </c>
      <c r="G17" s="42" t="s">
        <v>8</v>
      </c>
      <c r="H17" s="42" t="s">
        <v>9</v>
      </c>
      <c r="I17" s="42" t="s">
        <v>10</v>
      </c>
      <c r="J17" s="48" t="s">
        <v>322</v>
      </c>
      <c r="K17" s="48" t="s">
        <v>323</v>
      </c>
      <c r="L17" s="48" t="s">
        <v>324</v>
      </c>
      <c r="M17" s="48" t="s">
        <v>325</v>
      </c>
      <c r="N17" s="48" t="s">
        <v>326</v>
      </c>
      <c r="O17" s="48" t="s">
        <v>327</v>
      </c>
      <c r="P17" s="48" t="s">
        <v>328</v>
      </c>
      <c r="Q17" s="48" t="s">
        <v>329</v>
      </c>
    </row>
    <row r="18" spans="2:18" x14ac:dyDescent="0.35">
      <c r="B18" s="105" t="s">
        <v>330</v>
      </c>
      <c r="C18" s="106">
        <v>45</v>
      </c>
      <c r="D18" s="106">
        <v>52</v>
      </c>
      <c r="E18" s="106">
        <v>48</v>
      </c>
      <c r="F18" s="106">
        <v>55</v>
      </c>
      <c r="G18" s="107">
        <v>62</v>
      </c>
      <c r="H18" s="108">
        <v>85</v>
      </c>
      <c r="I18" s="108">
        <v>78</v>
      </c>
      <c r="J18" s="38" t="s">
        <v>331</v>
      </c>
      <c r="K18" s="39">
        <v>98500</v>
      </c>
      <c r="L18" s="39">
        <v>4200</v>
      </c>
      <c r="M18" s="39">
        <v>380</v>
      </c>
      <c r="N18" s="39">
        <f t="shared" ref="N18:N23" si="0">L18-M18</f>
        <v>3820</v>
      </c>
      <c r="O18" s="39">
        <f t="shared" ref="O18:O23" si="1">K18+N18</f>
        <v>102320</v>
      </c>
      <c r="P18" s="71">
        <f t="shared" ref="P18:P23" si="2">N18/K18</f>
        <v>3.8781725888324875E-2</v>
      </c>
      <c r="Q18" s="38"/>
    </row>
    <row r="19" spans="2:18" x14ac:dyDescent="0.35">
      <c r="B19" s="105" t="s">
        <v>332</v>
      </c>
      <c r="C19" s="107">
        <v>68</v>
      </c>
      <c r="D19" s="108">
        <v>75</v>
      </c>
      <c r="E19" s="108">
        <v>72</v>
      </c>
      <c r="F19" s="108">
        <v>78</v>
      </c>
      <c r="G19" s="108">
        <v>82</v>
      </c>
      <c r="H19" s="108">
        <v>72</v>
      </c>
      <c r="I19" s="107">
        <v>65</v>
      </c>
      <c r="J19" s="38" t="s">
        <v>333</v>
      </c>
      <c r="K19" s="39">
        <f>O18</f>
        <v>102320</v>
      </c>
      <c r="L19" s="39">
        <v>5100</v>
      </c>
      <c r="M19" s="39">
        <v>420</v>
      </c>
      <c r="N19" s="39">
        <f t="shared" si="0"/>
        <v>4680</v>
      </c>
      <c r="O19" s="39">
        <f t="shared" si="1"/>
        <v>107000</v>
      </c>
      <c r="P19" s="71">
        <f t="shared" si="2"/>
        <v>4.5738858483189995E-2</v>
      </c>
      <c r="Q19" s="109" t="s">
        <v>334</v>
      </c>
    </row>
    <row r="20" spans="2:18" x14ac:dyDescent="0.35">
      <c r="B20" s="105" t="s">
        <v>335</v>
      </c>
      <c r="C20" s="108">
        <v>82</v>
      </c>
      <c r="D20" s="110">
        <v>88</v>
      </c>
      <c r="E20" s="108">
        <v>85</v>
      </c>
      <c r="F20" s="110">
        <v>92</v>
      </c>
      <c r="G20" s="108">
        <v>78</v>
      </c>
      <c r="H20" s="107">
        <v>68</v>
      </c>
      <c r="I20" s="107">
        <v>62</v>
      </c>
      <c r="J20" s="38" t="s">
        <v>336</v>
      </c>
      <c r="K20" s="39">
        <f>O19</f>
        <v>107000</v>
      </c>
      <c r="L20" s="39">
        <v>6800</v>
      </c>
      <c r="M20" s="39">
        <v>510</v>
      </c>
      <c r="N20" s="39">
        <f t="shared" si="0"/>
        <v>6290</v>
      </c>
      <c r="O20" s="39">
        <f t="shared" si="1"/>
        <v>113290</v>
      </c>
      <c r="P20" s="71">
        <f t="shared" si="2"/>
        <v>5.878504672897196E-2</v>
      </c>
      <c r="Q20" s="38"/>
    </row>
    <row r="21" spans="2:18" x14ac:dyDescent="0.35">
      <c r="B21" s="105" t="s">
        <v>337</v>
      </c>
      <c r="C21" s="110">
        <v>95</v>
      </c>
      <c r="D21" s="110">
        <v>98</v>
      </c>
      <c r="E21" s="110">
        <v>92</v>
      </c>
      <c r="F21" s="111">
        <v>100</v>
      </c>
      <c r="G21" s="110">
        <v>88</v>
      </c>
      <c r="H21" s="108">
        <v>75</v>
      </c>
      <c r="I21" s="107">
        <v>70</v>
      </c>
      <c r="J21" s="38" t="s">
        <v>338</v>
      </c>
      <c r="K21" s="39">
        <f>O20</f>
        <v>113290</v>
      </c>
      <c r="L21" s="39">
        <v>7500</v>
      </c>
      <c r="M21" s="39">
        <v>480</v>
      </c>
      <c r="N21" s="39">
        <f t="shared" si="0"/>
        <v>7020</v>
      </c>
      <c r="O21" s="39">
        <f t="shared" si="1"/>
        <v>120310</v>
      </c>
      <c r="P21" s="71">
        <f t="shared" si="2"/>
        <v>6.1964868920469589E-2</v>
      </c>
      <c r="Q21" s="38"/>
    </row>
    <row r="22" spans="2:18" x14ac:dyDescent="0.35">
      <c r="B22" s="105" t="s">
        <v>339</v>
      </c>
      <c r="C22" s="108">
        <v>72</v>
      </c>
      <c r="D22" s="107">
        <v>68</v>
      </c>
      <c r="E22" s="107">
        <v>65</v>
      </c>
      <c r="F22" s="108">
        <v>75</v>
      </c>
      <c r="G22" s="110">
        <v>95</v>
      </c>
      <c r="H22" s="110">
        <v>92</v>
      </c>
      <c r="I22" s="110">
        <v>88</v>
      </c>
      <c r="J22" s="38" t="s">
        <v>340</v>
      </c>
      <c r="K22" s="39">
        <f>O21</f>
        <v>120310</v>
      </c>
      <c r="L22" s="39">
        <v>8200</v>
      </c>
      <c r="M22" s="39">
        <v>520</v>
      </c>
      <c r="N22" s="39">
        <f t="shared" si="0"/>
        <v>7680</v>
      </c>
      <c r="O22" s="39">
        <f t="shared" si="1"/>
        <v>127990</v>
      </c>
      <c r="P22" s="71">
        <f t="shared" si="2"/>
        <v>6.3835092677250432E-2</v>
      </c>
      <c r="Q22" s="109" t="s">
        <v>341</v>
      </c>
    </row>
    <row r="23" spans="2:18" x14ac:dyDescent="0.35">
      <c r="B23" s="105" t="s">
        <v>342</v>
      </c>
      <c r="C23" s="112">
        <v>25</v>
      </c>
      <c r="D23" s="112">
        <v>22</v>
      </c>
      <c r="E23" s="112">
        <v>20</v>
      </c>
      <c r="F23" s="112">
        <v>28</v>
      </c>
      <c r="G23" s="106">
        <v>45</v>
      </c>
      <c r="H23" s="106">
        <v>52</v>
      </c>
      <c r="I23" s="106">
        <v>48</v>
      </c>
      <c r="J23" s="38" t="s">
        <v>343</v>
      </c>
      <c r="K23" s="39">
        <f>O22</f>
        <v>127990</v>
      </c>
      <c r="L23" s="39">
        <v>9000</v>
      </c>
      <c r="M23" s="39">
        <v>550</v>
      </c>
      <c r="N23" s="39">
        <f t="shared" si="0"/>
        <v>8450</v>
      </c>
      <c r="O23" s="39">
        <f t="shared" si="1"/>
        <v>136440</v>
      </c>
      <c r="P23" s="71">
        <f t="shared" si="2"/>
        <v>6.6020782873662004E-2</v>
      </c>
      <c r="Q23" s="38"/>
    </row>
    <row r="26" spans="2:18" ht="18.5" x14ac:dyDescent="0.45">
      <c r="B26" s="153" t="s">
        <v>344</v>
      </c>
      <c r="C26" s="140"/>
      <c r="D26" s="140"/>
      <c r="E26" s="140"/>
      <c r="F26" s="140"/>
      <c r="G26" s="140"/>
      <c r="H26" s="140"/>
      <c r="I26" s="140"/>
      <c r="J26" s="140"/>
      <c r="L26" s="152" t="s">
        <v>345</v>
      </c>
      <c r="M26" s="140"/>
      <c r="N26" s="140"/>
      <c r="O26" s="140"/>
      <c r="P26" s="140"/>
      <c r="Q26" s="140"/>
      <c r="R26" s="140"/>
    </row>
    <row r="27" spans="2:18" x14ac:dyDescent="0.35">
      <c r="B27" s="66" t="s">
        <v>13</v>
      </c>
      <c r="C27" s="66" t="s">
        <v>106</v>
      </c>
      <c r="D27" s="66" t="s">
        <v>346</v>
      </c>
      <c r="E27" s="66" t="s">
        <v>347</v>
      </c>
      <c r="F27" s="66" t="s">
        <v>348</v>
      </c>
      <c r="G27" s="66" t="s">
        <v>108</v>
      </c>
      <c r="H27" s="66" t="s">
        <v>349</v>
      </c>
      <c r="L27" s="113" t="s">
        <v>350</v>
      </c>
      <c r="M27" s="38" t="s">
        <v>351</v>
      </c>
      <c r="N27" s="38" t="s">
        <v>352</v>
      </c>
      <c r="O27" s="181" t="s">
        <v>353</v>
      </c>
      <c r="P27" s="140"/>
      <c r="Q27" s="140"/>
      <c r="R27" s="140"/>
    </row>
    <row r="28" spans="2:18" x14ac:dyDescent="0.35">
      <c r="B28" s="38" t="s">
        <v>354</v>
      </c>
      <c r="C28" s="114">
        <v>85</v>
      </c>
      <c r="D28" s="106">
        <v>78</v>
      </c>
      <c r="E28" s="114">
        <v>82</v>
      </c>
      <c r="F28" s="106">
        <v>72</v>
      </c>
      <c r="G28" s="114">
        <v>88</v>
      </c>
      <c r="H28" s="115">
        <f t="shared" ref="H28:H34" si="3">AVERAGE(C28:G28)</f>
        <v>81</v>
      </c>
      <c r="L28" s="116" t="s">
        <v>355</v>
      </c>
      <c r="M28" s="38" t="s">
        <v>356</v>
      </c>
      <c r="N28" s="38" t="s">
        <v>357</v>
      </c>
      <c r="O28" s="181" t="s">
        <v>358</v>
      </c>
      <c r="P28" s="140"/>
      <c r="Q28" s="140"/>
      <c r="R28" s="140"/>
    </row>
    <row r="29" spans="2:18" x14ac:dyDescent="0.35">
      <c r="B29" s="38" t="s">
        <v>359</v>
      </c>
      <c r="C29" s="114">
        <v>95</v>
      </c>
      <c r="D29" s="106">
        <v>65</v>
      </c>
      <c r="E29" s="117">
        <v>45</v>
      </c>
      <c r="F29" s="114">
        <v>92</v>
      </c>
      <c r="G29" s="117">
        <v>55</v>
      </c>
      <c r="H29" s="115">
        <f t="shared" si="3"/>
        <v>70.400000000000006</v>
      </c>
      <c r="L29" s="118" t="s">
        <v>360</v>
      </c>
      <c r="M29" s="38" t="s">
        <v>361</v>
      </c>
      <c r="N29" s="38" t="s">
        <v>362</v>
      </c>
      <c r="O29" s="181" t="s">
        <v>363</v>
      </c>
      <c r="P29" s="140"/>
      <c r="Q29" s="140"/>
      <c r="R29" s="140"/>
    </row>
    <row r="30" spans="2:18" x14ac:dyDescent="0.35">
      <c r="B30" s="38" t="s">
        <v>364</v>
      </c>
      <c r="C30" s="106">
        <v>72</v>
      </c>
      <c r="D30" s="114">
        <v>85</v>
      </c>
      <c r="E30" s="114">
        <v>88</v>
      </c>
      <c r="F30" s="106">
        <v>68</v>
      </c>
      <c r="G30" s="114">
        <v>95</v>
      </c>
      <c r="H30" s="115">
        <f t="shared" si="3"/>
        <v>81.599999999999994</v>
      </c>
      <c r="L30" s="119" t="s">
        <v>365</v>
      </c>
      <c r="M30" s="38" t="s">
        <v>366</v>
      </c>
      <c r="N30" s="38" t="s">
        <v>367</v>
      </c>
      <c r="O30" s="181" t="s">
        <v>368</v>
      </c>
      <c r="P30" s="140"/>
      <c r="Q30" s="140"/>
      <c r="R30" s="140"/>
    </row>
    <row r="31" spans="2:18" x14ac:dyDescent="0.35">
      <c r="B31" s="38" t="s">
        <v>369</v>
      </c>
      <c r="C31" s="106">
        <v>78</v>
      </c>
      <c r="D31" s="106">
        <v>72</v>
      </c>
      <c r="E31" s="106">
        <v>65</v>
      </c>
      <c r="F31" s="117">
        <v>58</v>
      </c>
      <c r="G31" s="117">
        <v>62</v>
      </c>
      <c r="H31" s="115">
        <f t="shared" si="3"/>
        <v>67</v>
      </c>
    </row>
    <row r="32" spans="2:18" x14ac:dyDescent="0.35">
      <c r="B32" s="38" t="s">
        <v>370</v>
      </c>
      <c r="C32" s="106">
        <v>68</v>
      </c>
      <c r="D32" s="114">
        <v>88</v>
      </c>
      <c r="E32" s="106">
        <v>75</v>
      </c>
      <c r="F32" s="114">
        <v>82</v>
      </c>
      <c r="G32" s="106">
        <v>78</v>
      </c>
      <c r="H32" s="115">
        <f t="shared" si="3"/>
        <v>78.2</v>
      </c>
    </row>
    <row r="33" spans="2:8" x14ac:dyDescent="0.35">
      <c r="B33" s="38" t="s">
        <v>371</v>
      </c>
      <c r="C33" s="117">
        <v>62</v>
      </c>
      <c r="D33" s="117">
        <v>58</v>
      </c>
      <c r="E33" s="117">
        <v>55</v>
      </c>
      <c r="F33" s="106">
        <v>75</v>
      </c>
      <c r="G33" s="106">
        <v>72</v>
      </c>
      <c r="H33" s="115">
        <f t="shared" si="3"/>
        <v>64.400000000000006</v>
      </c>
    </row>
    <row r="34" spans="2:8" x14ac:dyDescent="0.35">
      <c r="B34" s="38" t="s">
        <v>372</v>
      </c>
      <c r="C34" s="106">
        <v>75</v>
      </c>
      <c r="D34" s="114">
        <v>82</v>
      </c>
      <c r="E34" s="106">
        <v>78</v>
      </c>
      <c r="F34" s="106">
        <v>65</v>
      </c>
      <c r="G34" s="114">
        <v>85</v>
      </c>
      <c r="H34" s="115">
        <f t="shared" si="3"/>
        <v>77</v>
      </c>
    </row>
  </sheetData>
  <mergeCells count="15">
    <mergeCell ref="B2:R2"/>
    <mergeCell ref="B26:J26"/>
    <mergeCell ref="B16:H16"/>
    <mergeCell ref="O29:R29"/>
    <mergeCell ref="B15:H15"/>
    <mergeCell ref="B3:R3"/>
    <mergeCell ref="O28:R28"/>
    <mergeCell ref="B5:H5"/>
    <mergeCell ref="B6:D6"/>
    <mergeCell ref="O27:R27"/>
    <mergeCell ref="J5:R5"/>
    <mergeCell ref="F6:H6"/>
    <mergeCell ref="J16:R16"/>
    <mergeCell ref="O30:R30"/>
    <mergeCell ref="L26:R26"/>
  </mergeCells>
  <conditionalFormatting sqref="H28:H34">
    <cfRule type="colorScale" priority="3">
      <colorScale>
        <cfvo type="num" val="50"/>
        <cfvo type="num" val="70"/>
        <cfvo type="num" val="90"/>
        <color rgb="FFFFC7CE"/>
        <color rgb="FFFFEB9C"/>
        <color rgb="FFC6EFCE"/>
      </colorScale>
    </cfRule>
  </conditionalFormatting>
  <conditionalFormatting sqref="N18:N23">
    <cfRule type="cellIs" dxfId="0" priority="1" operator="greaterThan">
      <formula>0</formula>
    </cfRule>
  </conditionalFormatting>
  <conditionalFormatting sqref="P18:P23">
    <cfRule type="dataBar" priority="2">
      <dataBar>
        <cfvo type="num" val="0"/>
        <cfvo type="num" val="0.1"/>
        <color rgb="FF9B59B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E676"/>
  </sheetPr>
  <dimension ref="B2:R33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2" max="18" width="14" customWidth="1"/>
  </cols>
  <sheetData>
    <row r="2" spans="2:18" ht="35" customHeight="1" x14ac:dyDescent="0.35">
      <c r="B2" s="186" t="s">
        <v>373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</row>
    <row r="3" spans="2:18" ht="20" customHeight="1" x14ac:dyDescent="0.35">
      <c r="B3" s="188" t="s">
        <v>374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</row>
    <row r="5" spans="2:18" ht="18.5" x14ac:dyDescent="0.45">
      <c r="B5" s="141" t="s">
        <v>375</v>
      </c>
      <c r="C5" s="140"/>
      <c r="D5" s="140"/>
      <c r="E5" s="140"/>
      <c r="F5" s="140"/>
      <c r="G5" s="140"/>
      <c r="H5" s="140"/>
      <c r="I5" s="140"/>
      <c r="J5" s="140"/>
      <c r="L5" s="154" t="s">
        <v>376</v>
      </c>
      <c r="M5" s="140"/>
      <c r="N5" s="140"/>
      <c r="O5" s="140"/>
      <c r="P5" s="140"/>
      <c r="Q5" s="140"/>
      <c r="R5" s="140"/>
    </row>
    <row r="6" spans="2:18" x14ac:dyDescent="0.35">
      <c r="B6" s="37" t="s">
        <v>377</v>
      </c>
      <c r="C6" s="37" t="s">
        <v>378</v>
      </c>
      <c r="D6" s="37" t="s">
        <v>274</v>
      </c>
      <c r="E6" s="37" t="s">
        <v>275</v>
      </c>
      <c r="F6" s="37" t="s">
        <v>85</v>
      </c>
      <c r="G6" s="37" t="s">
        <v>379</v>
      </c>
      <c r="H6" s="37" t="s">
        <v>15</v>
      </c>
      <c r="I6" s="37" t="s">
        <v>16</v>
      </c>
      <c r="J6" s="37" t="s">
        <v>380</v>
      </c>
      <c r="L6" s="48" t="s">
        <v>381</v>
      </c>
      <c r="M6" s="48" t="s">
        <v>382</v>
      </c>
      <c r="N6" s="48" t="s">
        <v>383</v>
      </c>
      <c r="O6" s="48" t="s">
        <v>83</v>
      </c>
      <c r="P6" s="48" t="s">
        <v>384</v>
      </c>
      <c r="Q6" s="48" t="s">
        <v>385</v>
      </c>
    </row>
    <row r="7" spans="2:18" x14ac:dyDescent="0.35">
      <c r="B7" s="38" t="s">
        <v>386</v>
      </c>
      <c r="C7" s="38" t="s">
        <v>387</v>
      </c>
      <c r="D7" s="39">
        <v>150000</v>
      </c>
      <c r="E7" s="40">
        <v>125000</v>
      </c>
      <c r="F7" s="41">
        <f t="shared" ref="F7:F14" si="0">E7/D7</f>
        <v>0.83333333333333337</v>
      </c>
      <c r="G7" s="38" t="s">
        <v>388</v>
      </c>
      <c r="H7" s="120" t="s">
        <v>389</v>
      </c>
      <c r="I7" s="38" t="s">
        <v>390</v>
      </c>
      <c r="J7" s="38" t="s">
        <v>281</v>
      </c>
      <c r="L7" s="121" t="s">
        <v>391</v>
      </c>
      <c r="M7" s="38">
        <v>2</v>
      </c>
      <c r="N7" s="38" t="s">
        <v>19</v>
      </c>
      <c r="O7" s="38" t="s">
        <v>392</v>
      </c>
      <c r="P7" s="38" t="s">
        <v>393</v>
      </c>
      <c r="Q7" s="38" t="s">
        <v>263</v>
      </c>
    </row>
    <row r="8" spans="2:18" x14ac:dyDescent="0.35">
      <c r="B8" s="38" t="s">
        <v>386</v>
      </c>
      <c r="C8" s="38" t="s">
        <v>394</v>
      </c>
      <c r="D8" s="39">
        <v>36</v>
      </c>
      <c r="E8" s="40">
        <v>28</v>
      </c>
      <c r="F8" s="41">
        <f t="shared" si="0"/>
        <v>0.77777777777777779</v>
      </c>
      <c r="G8" s="38" t="s">
        <v>388</v>
      </c>
      <c r="H8" s="122" t="s">
        <v>395</v>
      </c>
      <c r="I8" s="38" t="s">
        <v>390</v>
      </c>
      <c r="J8" s="38" t="s">
        <v>281</v>
      </c>
      <c r="L8" s="123" t="s">
        <v>396</v>
      </c>
      <c r="M8" s="38">
        <v>5</v>
      </c>
      <c r="N8" s="38" t="s">
        <v>397</v>
      </c>
      <c r="O8" s="38" t="s">
        <v>398</v>
      </c>
      <c r="P8" s="38" t="s">
        <v>399</v>
      </c>
      <c r="Q8" s="38" t="s">
        <v>259</v>
      </c>
    </row>
    <row r="9" spans="2:18" x14ac:dyDescent="0.35">
      <c r="B9" s="38" t="s">
        <v>400</v>
      </c>
      <c r="C9" s="38" t="s">
        <v>401</v>
      </c>
      <c r="D9" s="41">
        <v>1</v>
      </c>
      <c r="E9" s="124">
        <v>0.7</v>
      </c>
      <c r="F9" s="41">
        <f t="shared" si="0"/>
        <v>0.7</v>
      </c>
      <c r="G9" s="38" t="s">
        <v>388</v>
      </c>
      <c r="H9" s="120" t="s">
        <v>389</v>
      </c>
      <c r="I9" s="38" t="s">
        <v>390</v>
      </c>
      <c r="J9" s="38" t="s">
        <v>402</v>
      </c>
      <c r="L9" s="84" t="s">
        <v>75</v>
      </c>
      <c r="M9" s="38">
        <v>1</v>
      </c>
      <c r="N9" s="38" t="s">
        <v>403</v>
      </c>
      <c r="O9" s="38" t="s">
        <v>404</v>
      </c>
      <c r="P9" s="38" t="s">
        <v>393</v>
      </c>
      <c r="Q9" s="38" t="s">
        <v>259</v>
      </c>
    </row>
    <row r="10" spans="2:18" x14ac:dyDescent="0.35">
      <c r="B10" s="38" t="s">
        <v>400</v>
      </c>
      <c r="C10" s="38" t="s">
        <v>405</v>
      </c>
      <c r="D10" s="39">
        <v>5</v>
      </c>
      <c r="E10" s="40">
        <v>3</v>
      </c>
      <c r="F10" s="41">
        <f t="shared" si="0"/>
        <v>0.6</v>
      </c>
      <c r="G10" s="38" t="s">
        <v>406</v>
      </c>
      <c r="H10" s="122" t="s">
        <v>395</v>
      </c>
      <c r="I10" s="38" t="s">
        <v>407</v>
      </c>
      <c r="J10" s="38" t="s">
        <v>281</v>
      </c>
      <c r="L10" s="125" t="s">
        <v>408</v>
      </c>
      <c r="M10" s="38">
        <v>1</v>
      </c>
      <c r="N10" s="38" t="s">
        <v>409</v>
      </c>
      <c r="O10" s="38" t="s">
        <v>347</v>
      </c>
      <c r="P10" s="38" t="s">
        <v>410</v>
      </c>
      <c r="Q10" s="38" t="s">
        <v>263</v>
      </c>
    </row>
    <row r="11" spans="2:18" x14ac:dyDescent="0.35">
      <c r="B11" s="38" t="s">
        <v>411</v>
      </c>
      <c r="C11" s="38" t="s">
        <v>412</v>
      </c>
      <c r="D11" s="39">
        <v>15000</v>
      </c>
      <c r="E11" s="40">
        <v>8500</v>
      </c>
      <c r="F11" s="41">
        <f t="shared" si="0"/>
        <v>0.56666666666666665</v>
      </c>
      <c r="G11" s="38" t="s">
        <v>413</v>
      </c>
      <c r="H11" s="120" t="s">
        <v>389</v>
      </c>
      <c r="I11" s="38" t="s">
        <v>407</v>
      </c>
      <c r="J11" s="38" t="s">
        <v>281</v>
      </c>
      <c r="L11" s="126" t="s">
        <v>414</v>
      </c>
      <c r="M11" s="38">
        <v>1</v>
      </c>
      <c r="N11" s="38" t="s">
        <v>415</v>
      </c>
      <c r="O11" s="38" t="s">
        <v>411</v>
      </c>
      <c r="P11" s="38" t="s">
        <v>399</v>
      </c>
      <c r="Q11" s="38" t="s">
        <v>254</v>
      </c>
    </row>
    <row r="12" spans="2:18" x14ac:dyDescent="0.35">
      <c r="B12" s="38" t="s">
        <v>411</v>
      </c>
      <c r="C12" s="38" t="s">
        <v>416</v>
      </c>
      <c r="D12" s="41">
        <v>1</v>
      </c>
      <c r="E12" s="124">
        <v>0.5</v>
      </c>
      <c r="F12" s="41">
        <f t="shared" si="0"/>
        <v>0.5</v>
      </c>
      <c r="G12" s="38" t="s">
        <v>417</v>
      </c>
      <c r="H12" s="120" t="s">
        <v>389</v>
      </c>
      <c r="I12" s="38" t="s">
        <v>418</v>
      </c>
      <c r="J12" s="38" t="s">
        <v>419</v>
      </c>
      <c r="L12" s="127" t="s">
        <v>420</v>
      </c>
      <c r="M12" s="38">
        <v>0.5</v>
      </c>
      <c r="N12" s="38" t="s">
        <v>421</v>
      </c>
      <c r="O12" s="38" t="s">
        <v>73</v>
      </c>
      <c r="P12" s="38" t="s">
        <v>393</v>
      </c>
      <c r="Q12" s="38" t="s">
        <v>263</v>
      </c>
    </row>
    <row r="13" spans="2:18" x14ac:dyDescent="0.35">
      <c r="B13" s="38" t="s">
        <v>422</v>
      </c>
      <c r="C13" s="38" t="s">
        <v>423</v>
      </c>
      <c r="D13" s="39">
        <v>100000</v>
      </c>
      <c r="E13" s="40">
        <v>85000</v>
      </c>
      <c r="F13" s="41">
        <f t="shared" si="0"/>
        <v>0.85</v>
      </c>
      <c r="G13" s="38" t="s">
        <v>388</v>
      </c>
      <c r="H13" s="120" t="s">
        <v>389</v>
      </c>
      <c r="I13" s="38" t="s">
        <v>390</v>
      </c>
      <c r="J13" s="38" t="s">
        <v>281</v>
      </c>
    </row>
    <row r="14" spans="2:18" x14ac:dyDescent="0.35">
      <c r="B14" s="38" t="s">
        <v>424</v>
      </c>
      <c r="C14" s="38" t="s">
        <v>425</v>
      </c>
      <c r="D14" s="41">
        <v>1</v>
      </c>
      <c r="E14" s="124">
        <v>0.8</v>
      </c>
      <c r="F14" s="41">
        <f t="shared" si="0"/>
        <v>0.8</v>
      </c>
      <c r="G14" s="38" t="s">
        <v>388</v>
      </c>
      <c r="H14" s="122" t="s">
        <v>395</v>
      </c>
      <c r="I14" s="38" t="s">
        <v>407</v>
      </c>
      <c r="J14" s="38" t="s">
        <v>426</v>
      </c>
    </row>
    <row r="15" spans="2:18" ht="18.5" x14ac:dyDescent="0.45">
      <c r="L15" s="146" t="s">
        <v>427</v>
      </c>
      <c r="M15" s="140"/>
      <c r="N15" s="140"/>
      <c r="O15" s="140"/>
      <c r="P15" s="140"/>
      <c r="Q15" s="140"/>
      <c r="R15" s="140"/>
    </row>
    <row r="16" spans="2:18" x14ac:dyDescent="0.35">
      <c r="L16" s="23" t="s">
        <v>428</v>
      </c>
      <c r="M16" s="23" t="s">
        <v>429</v>
      </c>
      <c r="N16" s="23" t="s">
        <v>82</v>
      </c>
      <c r="O16" s="23" t="s">
        <v>15</v>
      </c>
      <c r="P16" s="23" t="s">
        <v>430</v>
      </c>
      <c r="Q16" s="23" t="s">
        <v>431</v>
      </c>
    </row>
    <row r="17" spans="2:18" ht="18.5" x14ac:dyDescent="0.45">
      <c r="B17" s="152" t="s">
        <v>432</v>
      </c>
      <c r="C17" s="140"/>
      <c r="D17" s="140"/>
      <c r="E17" s="140"/>
      <c r="F17" s="140"/>
      <c r="G17" s="140"/>
      <c r="H17" s="140"/>
      <c r="I17" s="140"/>
      <c r="J17" s="140"/>
      <c r="L17" s="38" t="s">
        <v>433</v>
      </c>
      <c r="M17" s="38" t="s">
        <v>434</v>
      </c>
      <c r="N17" s="38" t="s">
        <v>110</v>
      </c>
      <c r="O17" s="122" t="s">
        <v>435</v>
      </c>
      <c r="P17" s="128" t="s">
        <v>436</v>
      </c>
      <c r="Q17" s="38" t="s">
        <v>437</v>
      </c>
    </row>
    <row r="18" spans="2:18" x14ac:dyDescent="0.35">
      <c r="B18" s="60" t="s">
        <v>438</v>
      </c>
      <c r="C18" s="60" t="s">
        <v>186</v>
      </c>
      <c r="D18" s="60" t="s">
        <v>12</v>
      </c>
      <c r="E18" s="60" t="s">
        <v>4</v>
      </c>
      <c r="F18" s="60" t="s">
        <v>5</v>
      </c>
      <c r="G18" s="60" t="s">
        <v>6</v>
      </c>
      <c r="H18" s="60" t="s">
        <v>7</v>
      </c>
      <c r="I18" s="60" t="s">
        <v>8</v>
      </c>
      <c r="J18" s="60" t="s">
        <v>9</v>
      </c>
      <c r="K18" s="60" t="s">
        <v>10</v>
      </c>
      <c r="L18" s="38" t="s">
        <v>439</v>
      </c>
      <c r="M18" s="38" t="s">
        <v>440</v>
      </c>
      <c r="N18" s="38" t="s">
        <v>110</v>
      </c>
      <c r="O18" s="129" t="s">
        <v>441</v>
      </c>
      <c r="P18" s="38" t="s">
        <v>442</v>
      </c>
      <c r="Q18" s="38" t="s">
        <v>443</v>
      </c>
    </row>
    <row r="19" spans="2:18" x14ac:dyDescent="0.35">
      <c r="B19" s="38" t="s">
        <v>444</v>
      </c>
      <c r="C19" s="130" t="s">
        <v>445</v>
      </c>
      <c r="D19" s="38" t="s">
        <v>19</v>
      </c>
      <c r="E19" s="131" t="s">
        <v>446</v>
      </c>
      <c r="F19" s="131" t="s">
        <v>446</v>
      </c>
      <c r="G19" s="30"/>
      <c r="H19" s="30"/>
      <c r="I19" s="30"/>
      <c r="J19" s="30"/>
      <c r="K19" s="30"/>
      <c r="L19" s="38" t="s">
        <v>447</v>
      </c>
      <c r="M19" s="38" t="s">
        <v>448</v>
      </c>
      <c r="N19" s="38" t="s">
        <v>449</v>
      </c>
      <c r="O19" s="122" t="s">
        <v>435</v>
      </c>
      <c r="P19" s="128" t="s">
        <v>450</v>
      </c>
      <c r="Q19" s="38" t="s">
        <v>451</v>
      </c>
    </row>
    <row r="20" spans="2:18" x14ac:dyDescent="0.35">
      <c r="B20" s="38" t="s">
        <v>452</v>
      </c>
      <c r="C20" s="132" t="s">
        <v>453</v>
      </c>
      <c r="D20" s="38" t="s">
        <v>19</v>
      </c>
      <c r="E20" s="30"/>
      <c r="F20" s="30"/>
      <c r="G20" s="131" t="s">
        <v>446</v>
      </c>
      <c r="H20" s="131" t="s">
        <v>446</v>
      </c>
      <c r="I20" s="30"/>
      <c r="J20" s="30"/>
      <c r="K20" s="30"/>
      <c r="L20" s="38" t="s">
        <v>454</v>
      </c>
      <c r="M20" s="38" t="s">
        <v>455</v>
      </c>
      <c r="N20" s="38" t="s">
        <v>456</v>
      </c>
      <c r="O20" s="129" t="s">
        <v>441</v>
      </c>
      <c r="P20" s="38" t="s">
        <v>442</v>
      </c>
      <c r="Q20" s="38" t="s">
        <v>457</v>
      </c>
    </row>
    <row r="21" spans="2:18" x14ac:dyDescent="0.35">
      <c r="B21" s="38" t="s">
        <v>458</v>
      </c>
      <c r="C21" s="133" t="s">
        <v>396</v>
      </c>
      <c r="D21" s="38" t="s">
        <v>28</v>
      </c>
      <c r="E21" s="131" t="s">
        <v>446</v>
      </c>
      <c r="F21" s="30"/>
      <c r="G21" s="131" t="s">
        <v>446</v>
      </c>
      <c r="H21" s="30"/>
      <c r="I21" s="30"/>
      <c r="J21" s="30"/>
      <c r="K21" s="30"/>
      <c r="L21" s="38" t="s">
        <v>459</v>
      </c>
      <c r="M21" s="38" t="s">
        <v>460</v>
      </c>
      <c r="N21" s="38" t="s">
        <v>73</v>
      </c>
      <c r="O21" s="38" t="s">
        <v>461</v>
      </c>
      <c r="P21" s="38" t="s">
        <v>462</v>
      </c>
      <c r="Q21" s="38" t="s">
        <v>463</v>
      </c>
    </row>
    <row r="22" spans="2:18" x14ac:dyDescent="0.35">
      <c r="B22" s="38" t="s">
        <v>464</v>
      </c>
      <c r="C22" s="134" t="s">
        <v>465</v>
      </c>
      <c r="D22" s="38" t="s">
        <v>466</v>
      </c>
      <c r="E22" s="30"/>
      <c r="F22" s="30"/>
      <c r="G22" s="30"/>
      <c r="H22" s="131" t="s">
        <v>446</v>
      </c>
      <c r="I22" s="30"/>
      <c r="J22" s="30"/>
      <c r="K22" s="30"/>
    </row>
    <row r="23" spans="2:18" x14ac:dyDescent="0.35">
      <c r="B23" s="38" t="s">
        <v>467</v>
      </c>
      <c r="C23" s="133" t="s">
        <v>396</v>
      </c>
      <c r="D23" s="38" t="s">
        <v>37</v>
      </c>
      <c r="E23" s="131" t="s">
        <v>446</v>
      </c>
      <c r="F23" s="131" t="s">
        <v>446</v>
      </c>
      <c r="G23" s="131" t="s">
        <v>446</v>
      </c>
      <c r="H23" s="131" t="s">
        <v>446</v>
      </c>
      <c r="I23" s="131" t="s">
        <v>446</v>
      </c>
      <c r="J23" s="30"/>
      <c r="K23" s="30"/>
    </row>
    <row r="24" spans="2:18" x14ac:dyDescent="0.35">
      <c r="B24" s="38" t="s">
        <v>468</v>
      </c>
      <c r="C24" s="135" t="s">
        <v>469</v>
      </c>
      <c r="D24" s="38" t="s">
        <v>409</v>
      </c>
      <c r="E24" s="30"/>
      <c r="F24" s="30"/>
      <c r="G24" s="30"/>
      <c r="H24" s="30"/>
      <c r="I24" s="131" t="s">
        <v>446</v>
      </c>
      <c r="J24" s="30"/>
      <c r="K24" s="30"/>
    </row>
    <row r="25" spans="2:18" x14ac:dyDescent="0.35">
      <c r="B25" s="38" t="s">
        <v>470</v>
      </c>
      <c r="C25" s="136" t="s">
        <v>471</v>
      </c>
      <c r="D25" s="38" t="s">
        <v>472</v>
      </c>
      <c r="E25" s="131" t="s">
        <v>446</v>
      </c>
      <c r="F25" s="131" t="s">
        <v>446</v>
      </c>
      <c r="G25" s="131" t="s">
        <v>446</v>
      </c>
      <c r="H25" s="131" t="s">
        <v>446</v>
      </c>
      <c r="I25" s="131" t="s">
        <v>446</v>
      </c>
      <c r="J25" s="131" t="s">
        <v>446</v>
      </c>
      <c r="K25" s="131" t="s">
        <v>446</v>
      </c>
    </row>
    <row r="26" spans="2:18" x14ac:dyDescent="0.35">
      <c r="B26" s="38" t="s">
        <v>473</v>
      </c>
      <c r="C26" s="137" t="s">
        <v>474</v>
      </c>
      <c r="D26" s="38" t="s">
        <v>472</v>
      </c>
      <c r="E26" s="30"/>
      <c r="F26" s="30"/>
      <c r="G26" s="30"/>
      <c r="H26" s="30"/>
      <c r="I26" s="30"/>
      <c r="J26" s="30"/>
      <c r="K26" s="131" t="s">
        <v>446</v>
      </c>
    </row>
    <row r="29" spans="2:18" ht="18.5" x14ac:dyDescent="0.45">
      <c r="B29" s="178" t="s">
        <v>475</v>
      </c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</row>
    <row r="30" spans="2:18" ht="18.5" x14ac:dyDescent="0.45">
      <c r="B30" s="187" t="s">
        <v>476</v>
      </c>
      <c r="C30" s="140"/>
      <c r="D30" s="140"/>
      <c r="F30" s="185" t="s">
        <v>477</v>
      </c>
      <c r="G30" s="140"/>
      <c r="H30" s="140"/>
      <c r="J30" s="189" t="s">
        <v>478</v>
      </c>
      <c r="K30" s="140"/>
      <c r="L30" s="140"/>
      <c r="N30" s="190" t="s">
        <v>479</v>
      </c>
      <c r="O30" s="140"/>
      <c r="P30" s="140"/>
    </row>
    <row r="31" spans="2:18" x14ac:dyDescent="0.35">
      <c r="B31" s="138" t="s">
        <v>480</v>
      </c>
      <c r="F31" s="138" t="s">
        <v>481</v>
      </c>
      <c r="J31" s="138" t="s">
        <v>482</v>
      </c>
      <c r="N31" s="138" t="s">
        <v>483</v>
      </c>
    </row>
    <row r="32" spans="2:18" x14ac:dyDescent="0.35">
      <c r="B32" s="138" t="s">
        <v>484</v>
      </c>
      <c r="F32" s="138" t="s">
        <v>485</v>
      </c>
      <c r="J32" s="138" t="s">
        <v>486</v>
      </c>
      <c r="N32" s="138" t="s">
        <v>487</v>
      </c>
    </row>
    <row r="33" spans="2:14" x14ac:dyDescent="0.35">
      <c r="B33" s="138" t="s">
        <v>488</v>
      </c>
      <c r="F33" s="138" t="s">
        <v>489</v>
      </c>
      <c r="J33" s="138" t="s">
        <v>490</v>
      </c>
      <c r="N33" s="138" t="s">
        <v>491</v>
      </c>
    </row>
  </sheetData>
  <mergeCells count="11">
    <mergeCell ref="L5:R5"/>
    <mergeCell ref="B5:J5"/>
    <mergeCell ref="B29:R29"/>
    <mergeCell ref="F30:H30"/>
    <mergeCell ref="B2:R2"/>
    <mergeCell ref="B17:J17"/>
    <mergeCell ref="B30:D30"/>
    <mergeCell ref="B3:R3"/>
    <mergeCell ref="L15:R15"/>
    <mergeCell ref="J30:L30"/>
    <mergeCell ref="N30:P30"/>
  </mergeCells>
  <conditionalFormatting sqref="F7:F14">
    <cfRule type="dataBar" priority="1">
      <dataBar>
        <cfvo type="num" val="0"/>
        <cfvo type="num" val="1"/>
        <color rgb="FF00E67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 Calendar</vt:lpstr>
      <vt:lpstr>Video Analytics</vt:lpstr>
      <vt:lpstr>Revenue Streams</vt:lpstr>
      <vt:lpstr>Audience Insights</vt:lpstr>
      <vt:lpstr>Growth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Medina</cp:lastModifiedBy>
  <dcterms:created xsi:type="dcterms:W3CDTF">2026-01-04T00:53:41Z</dcterms:created>
  <dcterms:modified xsi:type="dcterms:W3CDTF">2026-01-04T00:57:23Z</dcterms:modified>
</cp:coreProperties>
</file>