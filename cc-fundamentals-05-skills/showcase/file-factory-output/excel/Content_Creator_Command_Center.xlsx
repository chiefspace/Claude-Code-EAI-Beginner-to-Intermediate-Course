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Video Analytics" sheetId="2" state="visible" r:id="rId2"/>
    <sheet xmlns:r="http://schemas.openxmlformats.org/officeDocument/2006/relationships" name="Revenue Streams" sheetId="3" state="visible" r:id="rId3"/>
    <sheet xmlns:r="http://schemas.openxmlformats.org/officeDocument/2006/relationships" name="Audience Insights" sheetId="4" state="visible" r:id="rId4"/>
    <sheet xmlns:r="http://schemas.openxmlformats.org/officeDocument/2006/relationships" name="Growth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&quot;$&quot;#,##0"/>
    <numFmt numFmtId="166" formatCode="+0.0%;-0.0%"/>
    <numFmt numFmtId="167" formatCode="0.000%"/>
    <numFmt numFmtId="168" formatCode="#,##0&quot; hrs&quot;"/>
    <numFmt numFmtId="169" formatCode="0.0"/>
    <numFmt numFmtId="170" formatCode="0&quot;/100&quot;"/>
    <numFmt numFmtId="171" formatCode="0.0&quot;x&quot;"/>
    <numFmt numFmtId="172" formatCode="0.0&quot; min&quot;"/>
    <numFmt numFmtId="173" formatCode="+0%;-0%"/>
  </numFmts>
  <fonts count="43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9B59B6"/>
      <sz val="10"/>
    </font>
    <font>
      <b val="1"/>
      <color rgb="009B59B6"/>
      <sz val="14"/>
    </font>
    <font>
      <b val="1"/>
      <color rgb="00FFFFFF"/>
      <sz val="9"/>
    </font>
    <font>
      <b val="1"/>
      <color rgb="00000000"/>
      <sz val="9"/>
    </font>
    <font>
      <b val="1"/>
      <color rgb="009B59B6"/>
      <sz val="12"/>
    </font>
    <font>
      <color rgb="00FF0000"/>
    </font>
    <font>
      <sz val="9"/>
    </font>
    <font>
      <color rgb="00E1306C"/>
    </font>
    <font>
      <color rgb="0000F2EA"/>
    </font>
    <font>
      <color rgb="001DB954"/>
    </font>
    <font>
      <color rgb="00FFD93D"/>
    </font>
    <font>
      <color rgb="00FF6B6B"/>
    </font>
    <font>
      <b val="1"/>
      <color rgb="0000BCD4"/>
      <sz val="14"/>
    </font>
    <font>
      <b val="1"/>
      <color rgb="0000E676"/>
      <sz val="14"/>
    </font>
    <font>
      <b val="1"/>
      <color rgb="00FFFFFF"/>
      <sz val="11"/>
    </font>
    <font>
      <b val="1"/>
    </font>
    <font>
      <b val="1"/>
      <color rgb="00FF5722"/>
      <sz val="14"/>
    </font>
    <font>
      <b val="1"/>
      <color rgb="00FFFFFF"/>
    </font>
    <font>
      <b val="1"/>
      <color rgb="00000000"/>
    </font>
    <font>
      <b val="1"/>
      <color rgb="00FF6B6B"/>
      <sz val="14"/>
    </font>
    <font>
      <b val="1"/>
      <color rgb="009C27B0"/>
      <sz val="16"/>
    </font>
    <font>
      <b val="1"/>
      <color rgb="002196F3"/>
      <sz val="16"/>
    </font>
    <font>
      <b val="1"/>
      <color rgb="004CAF50"/>
      <sz val="16"/>
    </font>
    <font>
      <b val="1"/>
      <color rgb="00FF9800"/>
      <sz val="16"/>
    </font>
    <font>
      <b val="1"/>
      <color rgb="00FF0000"/>
      <sz val="10"/>
    </font>
    <font>
      <b val="1"/>
      <color rgb="00FF0000"/>
      <sz val="14"/>
    </font>
    <font>
      <b val="1"/>
      <sz val="12"/>
    </font>
    <font>
      <b val="1"/>
      <sz val="14"/>
    </font>
    <font>
      <b val="1"/>
      <color rgb="00FF6B6B"/>
      <sz val="16"/>
    </font>
    <font>
      <b val="1"/>
      <color rgb="00FFD93D"/>
      <sz val="10"/>
    </font>
    <font>
      <b val="1"/>
      <color rgb="00FFD93D"/>
      <sz val="14"/>
    </font>
    <font>
      <b val="1"/>
      <color rgb="00000000"/>
      <sz val="11"/>
    </font>
    <font>
      <b val="1"/>
      <sz val="11"/>
    </font>
    <font>
      <b val="1"/>
      <sz val="9"/>
    </font>
    <font>
      <b val="1"/>
      <color rgb="009B59B6"/>
    </font>
    <font>
      <b val="1"/>
      <color rgb="0000BCD4"/>
      <sz val="10"/>
    </font>
    <font>
      <b val="1"/>
      <sz val="10"/>
    </font>
    <font>
      <b val="1"/>
      <color rgb="0000E676"/>
      <sz val="10"/>
    </font>
    <font>
      <b val="1"/>
      <color rgb="0000E676"/>
    </font>
    <font>
      <b val="1"/>
      <color rgb="00FFFFFF"/>
      <sz val="14"/>
    </font>
    <font>
      <sz val="10"/>
    </font>
  </fonts>
  <fills count="51">
    <fill>
      <patternFill/>
    </fill>
    <fill>
      <patternFill patternType="gray125"/>
    </fill>
    <fill>
      <patternFill patternType="solid">
        <fgColor rgb="009B59B6"/>
        <bgColor rgb="009B59B6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0000"/>
        <bgColor rgb="00FF0000"/>
      </patternFill>
    </fill>
    <fill>
      <patternFill patternType="solid">
        <fgColor rgb="00E1306C"/>
        <bgColor rgb="00E1306C"/>
      </patternFill>
    </fill>
    <fill>
      <patternFill patternType="solid">
        <fgColor rgb="001DB954"/>
        <bgColor rgb="001DB954"/>
      </patternFill>
    </fill>
    <fill>
      <patternFill patternType="solid">
        <fgColor rgb="0000F2EA"/>
        <bgColor rgb="0000F2EA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00BCD4"/>
        <bgColor rgb="0000BCD4"/>
      </patternFill>
    </fill>
    <fill>
      <patternFill patternType="solid">
        <fgColor rgb="009146FF"/>
        <bgColor rgb="009146FF"/>
      </patternFill>
    </fill>
    <fill>
      <patternFill patternType="solid">
        <fgColor rgb="0000E676"/>
        <bgColor rgb="0000E676"/>
      </patternFill>
    </fill>
    <fill>
      <patternFill patternType="solid">
        <fgColor rgb="00FF5722"/>
        <bgColor rgb="00FF5722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FFEBEE"/>
        <bgColor rgb="00FFEBEE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E91E63"/>
        <bgColor rgb="00E91E63"/>
      </patternFill>
    </fill>
    <fill>
      <patternFill patternType="solid">
        <fgColor rgb="0064B5F6"/>
        <bgColor rgb="0064B5F6"/>
      </patternFill>
    </fill>
    <fill>
      <patternFill patternType="solid">
        <fgColor rgb="0090CAF9"/>
        <bgColor rgb="0090CAF9"/>
      </patternFill>
    </fill>
    <fill>
      <patternFill patternType="solid">
        <fgColor rgb="00CE93D8"/>
        <bgColor rgb="00CE93D8"/>
      </patternFill>
    </fill>
    <fill>
      <patternFill patternType="solid">
        <fgColor rgb="00A5D6A7"/>
        <bgColor rgb="00A5D6A7"/>
      </patternFill>
    </fill>
    <fill>
      <patternFill patternType="solid">
        <fgColor rgb="00FFCC80"/>
        <bgColor rgb="00FFCC80"/>
      </patternFill>
    </fill>
    <fill>
      <patternFill patternType="solid">
        <fgColor rgb="00F48FB1"/>
        <bgColor rgb="00F48FB1"/>
      </patternFill>
    </fill>
    <fill>
      <patternFill patternType="solid">
        <fgColor rgb="00FFF8E1"/>
        <bgColor rgb="00FFF8E1"/>
      </patternFill>
    </fill>
    <fill>
      <patternFill patternType="solid">
        <fgColor rgb="0066BB6A"/>
        <bgColor rgb="0066BB6A"/>
      </patternFill>
    </fill>
    <fill>
      <patternFill patternType="solid">
        <fgColor rgb="0042A5F5"/>
        <bgColor rgb="0042A5F5"/>
      </patternFill>
    </fill>
    <fill>
      <patternFill patternType="solid">
        <fgColor rgb="00FFA726"/>
        <bgColor rgb="00FFA726"/>
      </patternFill>
    </fill>
    <fill>
      <patternFill patternType="solid">
        <fgColor rgb="00BA68C8"/>
        <bgColor rgb="00BA68C8"/>
      </patternFill>
    </fill>
    <fill>
      <patternFill patternType="solid">
        <fgColor rgb="00F06292"/>
        <bgColor rgb="00F06292"/>
      </patternFill>
    </fill>
    <fill>
      <patternFill patternType="solid">
        <fgColor rgb="00E3F2FD"/>
        <bgColor rgb="00E3F2FD"/>
      </patternFill>
    </fill>
    <fill>
      <patternFill patternType="solid">
        <fgColor rgb="00E1BEE7"/>
        <bgColor rgb="00E1BEE7"/>
      </patternFill>
    </fill>
    <fill>
      <patternFill patternType="solid">
        <fgColor rgb="008E24AA"/>
        <bgColor rgb="008E24AA"/>
      </patternFill>
    </fill>
    <fill>
      <patternFill patternType="solid">
        <fgColor rgb="007B1FA2"/>
        <bgColor rgb="007B1FA2"/>
      </patternFill>
    </fill>
    <fill>
      <patternFill patternType="solid">
        <fgColor rgb="00AB47BC"/>
        <bgColor rgb="00AB47BC"/>
      </patternFill>
    </fill>
    <fill>
      <patternFill patternType="solid">
        <fgColor rgb="00388E3C"/>
        <bgColor rgb="00388E3C"/>
      </patternFill>
    </fill>
    <fill>
      <patternFill patternType="solid">
        <fgColor rgb="00C8E6C9"/>
        <bgColor rgb="00C8E6C9"/>
      </patternFill>
    </fill>
    <fill>
      <patternFill patternType="solid">
        <fgColor rgb="00FFB74D"/>
        <bgColor rgb="00FFB74D"/>
      </patternFill>
    </fill>
    <fill>
      <patternFill patternType="solid">
        <fgColor rgb="00FB8C00"/>
        <bgColor rgb="00FB8C00"/>
      </patternFill>
    </fill>
    <fill>
      <patternFill patternType="solid">
        <fgColor rgb="00F57C00"/>
        <bgColor rgb="00F57C00"/>
      </patternFill>
    </fill>
    <fill>
      <patternFill patternType="solid">
        <fgColor rgb="00FFE0B2"/>
        <bgColor rgb="00FFE0B2"/>
      </patternFill>
    </fill>
    <fill>
      <patternFill patternType="solid">
        <fgColor rgb="00EC407A"/>
        <bgColor rgb="00EC407A"/>
      </patternFill>
    </fill>
    <fill>
      <patternFill patternType="solid">
        <fgColor rgb="00E8F5E9"/>
        <bgColor rgb="00E8F5E9"/>
      </patternFill>
    </fill>
    <fill>
      <patternFill patternType="solid">
        <fgColor rgb="0081C784"/>
        <bgColor rgb="0081C784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14" fillId="0" borderId="0" pivotButton="0" quotePrefix="0" xfId="0"/>
    <xf numFmtId="0" fontId="4" fillId="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7" borderId="0" pivotButton="0" quotePrefix="0" xfId="0"/>
    <xf numFmtId="0" fontId="18" fillId="0" borderId="0" pivotButton="0" quotePrefix="0" xfId="0"/>
    <xf numFmtId="0" fontId="10" fillId="9" borderId="0" pivotButton="0" quotePrefix="0" xfId="0"/>
    <xf numFmtId="0" fontId="16" fillId="15" borderId="1" applyAlignment="1" pivotButton="0" quotePrefix="0" xfId="0">
      <alignment horizontal="center" vertical="center"/>
    </xf>
    <xf numFmtId="0" fontId="11" fillId="8" borderId="0" pivotButton="0" quotePrefix="0" xfId="0"/>
    <xf numFmtId="0" fontId="19" fillId="6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10" borderId="0" pivotButton="0" quotePrefix="0" xfId="0"/>
    <xf numFmtId="0" fontId="19" fillId="7" borderId="1" applyAlignment="1" pivotButton="0" quotePrefix="0" xfId="0">
      <alignment horizontal="center"/>
    </xf>
    <xf numFmtId="0" fontId="13" fillId="11" borderId="0" pivotButton="0" quotePrefix="0" xfId="0"/>
    <xf numFmtId="0" fontId="20" fillId="9" borderId="1" applyAlignment="1" pivotButton="0" quotePrefix="0" xfId="0">
      <alignment horizontal="center"/>
    </xf>
    <xf numFmtId="0" fontId="19" fillId="8" borderId="1" applyAlignment="1" pivotButton="0" quotePrefix="0" xfId="0">
      <alignment horizontal="center"/>
    </xf>
    <xf numFmtId="0" fontId="15" fillId="0" borderId="0" pivotButton="0" quotePrefix="0" xfId="0"/>
    <xf numFmtId="0" fontId="19" fillId="13" borderId="1" applyAlignment="1" pivotButton="0" quotePrefix="0" xfId="0">
      <alignment horizontal="center"/>
    </xf>
    <xf numFmtId="0" fontId="16" fillId="14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17" fillId="0" borderId="1" pivotButton="0" quotePrefix="0" xfId="0"/>
    <xf numFmtId="9" fontId="0" fillId="0" borderId="1" pivotButton="0" quotePrefix="0" xfId="0"/>
    <xf numFmtId="0" fontId="21" fillId="0" borderId="0" pivotButton="0" quotePrefix="0" xfId="0"/>
    <xf numFmtId="0" fontId="4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4" fontId="24" fillId="0" borderId="0" applyAlignment="1" pivotButton="0" quotePrefix="0" xfId="0">
      <alignment horizontal="center"/>
    </xf>
    <xf numFmtId="165" fontId="25" fillId="0" borderId="0" applyAlignment="1" pivotButton="0" quotePrefix="0" xfId="0">
      <alignment horizontal="center"/>
    </xf>
    <xf numFmtId="164" fontId="0" fillId="0" borderId="1" pivotButton="0" quotePrefix="0" xfId="0"/>
    <xf numFmtId="164" fontId="17" fillId="0" borderId="1" pivotButton="0" quotePrefix="0" xfId="0"/>
    <xf numFmtId="165" fontId="0" fillId="0" borderId="1" pivotButton="0" quotePrefix="0" xfId="0"/>
    <xf numFmtId="165" fontId="17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26" fillId="20" borderId="0" applyAlignment="1" pivotButton="0" quotePrefix="0" xfId="0">
      <alignment horizontal="center" vertical="center"/>
    </xf>
    <xf numFmtId="0" fontId="27" fillId="0" borderId="0" pivotButton="0" quotePrefix="0" xfId="0"/>
    <xf numFmtId="0" fontId="16" fillId="6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28" fillId="21" borderId="1" applyAlignment="1" pivotButton="0" quotePrefix="0" xfId="0">
      <alignment horizontal="center"/>
    </xf>
    <xf numFmtId="1" fontId="17" fillId="0" borderId="1" pivotButton="0" quotePrefix="0" xfId="0"/>
    <xf numFmtId="0" fontId="17" fillId="17" borderId="1" pivotButton="0" quotePrefix="0" xfId="0"/>
    <xf numFmtId="0" fontId="28" fillId="22" borderId="1" applyAlignment="1" pivotButton="0" quotePrefix="0" xfId="0">
      <alignment horizontal="center"/>
    </xf>
    <xf numFmtId="0" fontId="17" fillId="24" borderId="1" pivotButton="0" quotePrefix="0" xfId="0"/>
    <xf numFmtId="0" fontId="28" fillId="23" borderId="1" applyAlignment="1" pivotButton="0" quotePrefix="0" xfId="0">
      <alignment horizontal="center"/>
    </xf>
    <xf numFmtId="0" fontId="17" fillId="18" borderId="1" pivotButton="0" quotePrefix="0" xfId="0"/>
    <xf numFmtId="0" fontId="28" fillId="0" borderId="1" applyAlignment="1" pivotButton="0" quotePrefix="0" xfId="0">
      <alignment horizontal="center"/>
    </xf>
    <xf numFmtId="0" fontId="17" fillId="19" borderId="1" pivotButton="0" quotePrefix="0" xfId="0"/>
    <xf numFmtId="0" fontId="17" fillId="16" borderId="1" pivotButton="0" quotePrefix="0" xfId="0"/>
    <xf numFmtId="0" fontId="17" fillId="25" borderId="1" pivotButton="0" quotePrefix="0" xfId="0"/>
    <xf numFmtId="0" fontId="0" fillId="0" borderId="4" pivotButton="0" quotePrefix="0" xfId="0"/>
    <xf numFmtId="0" fontId="0" fillId="0" borderId="5" pivotButton="0" quotePrefix="0" xfId="0"/>
    <xf numFmtId="10" fontId="29" fillId="0" borderId="1" applyAlignment="1" pivotButton="0" quotePrefix="0" xfId="0">
      <alignment horizontal="center"/>
    </xf>
    <xf numFmtId="167" fontId="29" fillId="0" borderId="1" applyAlignment="1" pivotButton="0" quotePrefix="0" xfId="0">
      <alignment horizontal="center"/>
    </xf>
    <xf numFmtId="168" fontId="29" fillId="0" borderId="1" applyAlignment="1" pivotButton="0" quotePrefix="0" xfId="0">
      <alignment horizontal="center"/>
    </xf>
    <xf numFmtId="164" fontId="29" fillId="0" borderId="1" applyAlignment="1" pivotButton="0" quotePrefix="0" xfId="0">
      <alignment horizontal="center"/>
    </xf>
    <xf numFmtId="9" fontId="29" fillId="0" borderId="1" applyAlignment="1" pivotButton="0" quotePrefix="0" xfId="0">
      <alignment horizontal="center"/>
    </xf>
    <xf numFmtId="0" fontId="16" fillId="12" borderId="1" applyAlignment="1" pivotButton="0" quotePrefix="0" xfId="0">
      <alignment horizontal="center" vertical="center"/>
    </xf>
    <xf numFmtId="0" fontId="17" fillId="26" borderId="1" pivotButton="0" quotePrefix="0" xfId="0"/>
    <xf numFmtId="0" fontId="17" fillId="27" borderId="1" pivotButton="0" quotePrefix="0" xfId="0"/>
    <xf numFmtId="0" fontId="17" fillId="28" borderId="1" pivotButton="0" quotePrefix="0" xfId="0"/>
    <xf numFmtId="0" fontId="17" fillId="29" borderId="1" pivotButton="0" quotePrefix="0" xfId="0"/>
    <xf numFmtId="0" fontId="17" fillId="30" borderId="1" pivotButton="0" quotePrefix="0" xfId="0"/>
    <xf numFmtId="0" fontId="16" fillId="11" borderId="1" applyAlignment="1" pivotButton="0" quotePrefix="0" xfId="0">
      <alignment horizontal="center" vertical="center"/>
    </xf>
    <xf numFmtId="169" fontId="0" fillId="0" borderId="1" pivotButton="0" quotePrefix="0" xfId="0"/>
    <xf numFmtId="0" fontId="28" fillId="0" borderId="0" pivotButton="0" quotePrefix="0" xfId="0"/>
    <xf numFmtId="170" fontId="30" fillId="0" borderId="0" pivotButton="0" quotePrefix="0" xfId="0"/>
    <xf numFmtId="0" fontId="1" fillId="10" borderId="0" applyAlignment="1" pivotButton="0" quotePrefix="0" xfId="0">
      <alignment horizontal="center" vertical="center"/>
    </xf>
    <xf numFmtId="0" fontId="31" fillId="31" borderId="0" applyAlignment="1" pivotButton="0" quotePrefix="0" xfId="0">
      <alignment horizontal="center" vertical="center"/>
    </xf>
    <xf numFmtId="0" fontId="32" fillId="0" borderId="0" pivotButton="0" quotePrefix="0" xfId="0"/>
    <xf numFmtId="0" fontId="33" fillId="10" borderId="1" applyAlignment="1" pivotButton="0" quotePrefix="0" xfId="0">
      <alignment horizontal="center" vertical="center"/>
    </xf>
    <xf numFmtId="0" fontId="19" fillId="6" borderId="1" pivotButton="0" quotePrefix="0" xfId="0"/>
    <xf numFmtId="166" fontId="0" fillId="0" borderId="1" pivotButton="0" quotePrefix="0" xfId="0"/>
    <xf numFmtId="0" fontId="0" fillId="32" borderId="1" pivotButton="0" quotePrefix="0" xfId="0"/>
    <xf numFmtId="171" fontId="0" fillId="0" borderId="1" pivotButton="0" quotePrefix="0" xfId="0"/>
    <xf numFmtId="0" fontId="20" fillId="10" borderId="1" pivotButton="0" quotePrefix="0" xfId="0"/>
    <xf numFmtId="0" fontId="0" fillId="33" borderId="1" pivotButton="0" quotePrefix="0" xfId="0"/>
    <xf numFmtId="0" fontId="20" fillId="14" borderId="1" pivotButton="0" quotePrefix="0" xfId="0"/>
    <xf numFmtId="0" fontId="0" fillId="34" borderId="1" pivotButton="0" quotePrefix="0" xfId="0"/>
    <xf numFmtId="0" fontId="19" fillId="2" borderId="1" pivotButton="0" quotePrefix="0" xfId="0"/>
    <xf numFmtId="0" fontId="19" fillId="12" borderId="1" pivotButton="0" quotePrefix="0" xfId="0"/>
    <xf numFmtId="0" fontId="0" fillId="35" borderId="1" pivotButton="0" quotePrefix="0" xfId="0"/>
    <xf numFmtId="0" fontId="19" fillId="15" borderId="1" pivotButton="0" quotePrefix="0" xfId="0"/>
    <xf numFmtId="0" fontId="0" fillId="36" borderId="1" pivotButton="0" quotePrefix="0" xfId="0"/>
    <xf numFmtId="0" fontId="19" fillId="13" borderId="1" pivotButton="0" quotePrefix="0" xfId="0"/>
    <xf numFmtId="0" fontId="19" fillId="8" borderId="1" pivotButton="0" quotePrefix="0" xfId="0"/>
    <xf numFmtId="0" fontId="34" fillId="0" borderId="0" pivotButton="0" quotePrefix="0" xfId="0"/>
    <xf numFmtId="165" fontId="34" fillId="10" borderId="6" pivotButton="0" quotePrefix="0" xfId="0"/>
    <xf numFmtId="0" fontId="35" fillId="0" borderId="0" pivotButton="0" quotePrefix="0" xfId="0"/>
    <xf numFmtId="165" fontId="36" fillId="0" borderId="0" pivotButton="0" quotePrefix="0" xfId="0"/>
    <xf numFmtId="1" fontId="36" fillId="0" borderId="0" pivotButton="0" quotePrefix="0" xfId="0"/>
    <xf numFmtId="165" fontId="0" fillId="0" borderId="1" applyAlignment="1" pivotButton="0" quotePrefix="0" xfId="0">
      <alignment horizontal="right"/>
    </xf>
    <xf numFmtId="165" fontId="18" fillId="0" borderId="1" applyAlignment="1" pivotButton="0" quotePrefix="0" xfId="0">
      <alignment horizontal="right"/>
    </xf>
    <xf numFmtId="165" fontId="16" fillId="15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right"/>
    </xf>
    <xf numFmtId="0" fontId="19" fillId="12" borderId="0" pivotButton="0" quotePrefix="0" xfId="0"/>
    <xf numFmtId="165" fontId="17" fillId="26" borderId="1" pivotButton="0" quotePrefix="0" xfId="0"/>
    <xf numFmtId="0" fontId="17" fillId="0" borderId="0" pivotButton="0" quotePrefix="0" xfId="0"/>
    <xf numFmtId="165" fontId="18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37" fillId="37" borderId="0" applyAlignment="1" pivotButton="0" quotePrefix="0" xfId="0">
      <alignment horizontal="center" vertical="center"/>
    </xf>
    <xf numFmtId="0" fontId="0" fillId="38" borderId="1" pivotButton="0" quotePrefix="0" xfId="0"/>
    <xf numFmtId="9" fontId="19" fillId="17" borderId="1" pivotButton="0" quotePrefix="0" xfId="0"/>
    <xf numFmtId="0" fontId="17" fillId="42" borderId="1" pivotButton="0" quotePrefix="0" xfId="0"/>
    <xf numFmtId="172" fontId="0" fillId="0" borderId="1" pivotButton="0" quotePrefix="0" xfId="0"/>
    <xf numFmtId="173" fontId="0" fillId="0" borderId="1" pivotButton="0" quotePrefix="0" xfId="0"/>
    <xf numFmtId="9" fontId="19" fillId="24" borderId="1" pivotButton="0" quotePrefix="0" xfId="0"/>
    <xf numFmtId="0" fontId="0" fillId="16" borderId="1" pivotButton="0" quotePrefix="0" xfId="0"/>
    <xf numFmtId="9" fontId="19" fillId="41" borderId="1" pivotButton="0" quotePrefix="0" xfId="0"/>
    <xf numFmtId="0" fontId="17" fillId="43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38" fillId="0" borderId="0" pivotButton="0" quotePrefix="0" xfId="0"/>
    <xf numFmtId="0" fontId="35" fillId="0" borderId="0" applyAlignment="1" pivotButton="0" quotePrefix="0" xfId="0">
      <alignment horizontal="center"/>
    </xf>
    <xf numFmtId="0" fontId="8" fillId="0" borderId="1" pivotButton="0" quotePrefix="0" xfId="0"/>
    <xf numFmtId="0" fontId="0" fillId="44" borderId="1" applyAlignment="1" pivotButton="0" quotePrefix="0" xfId="0">
      <alignment horizontal="center"/>
    </xf>
    <xf numFmtId="0" fontId="0" fillId="34" borderId="1" applyAlignment="1" pivotButton="0" quotePrefix="0" xfId="0">
      <alignment horizontal="center"/>
    </xf>
    <xf numFmtId="0" fontId="4" fillId="19" borderId="1" applyAlignment="1" pivotButton="0" quotePrefix="0" xfId="0">
      <alignment horizontal="center"/>
    </xf>
    <xf numFmtId="0" fontId="34" fillId="0" borderId="1" pivotButton="0" quotePrefix="0" xfId="0"/>
    <xf numFmtId="0" fontId="4" fillId="45" borderId="1" applyAlignment="1" pivotButton="0" quotePrefix="0" xfId="0">
      <alignment horizontal="center"/>
    </xf>
    <xf numFmtId="0" fontId="4" fillId="46" borderId="1" applyAlignment="1" pivotButton="0" quotePrefix="0" xfId="0">
      <alignment horizontal="center"/>
    </xf>
    <xf numFmtId="0" fontId="0" fillId="47" borderId="1" applyAlignment="1" pivotButton="0" quotePrefix="0" xfId="0">
      <alignment horizontal="center"/>
    </xf>
    <xf numFmtId="0" fontId="17" fillId="33" borderId="1" pivotButton="0" quotePrefix="0" xfId="0"/>
    <xf numFmtId="0" fontId="0" fillId="32" borderId="1" applyAlignment="1" pivotButton="0" quotePrefix="0" xfId="0">
      <alignment horizontal="center"/>
    </xf>
    <xf numFmtId="1" fontId="34" fillId="0" borderId="1" pivotButton="0" quotePrefix="0" xfId="0"/>
    <xf numFmtId="0" fontId="17" fillId="48" borderId="1" pivotButton="0" quotePrefix="0" xfId="0"/>
    <xf numFmtId="0" fontId="0" fillId="30" borderId="1" applyAlignment="1" pivotButton="0" quotePrefix="0" xfId="0">
      <alignment horizontal="center"/>
    </xf>
    <xf numFmtId="0" fontId="17" fillId="41" borderId="1" pivotButton="0" quotePrefix="0" xfId="0"/>
    <xf numFmtId="0" fontId="17" fillId="32" borderId="1" pivotButton="0" quotePrefix="0" xfId="0"/>
    <xf numFmtId="0" fontId="1" fillId="14" borderId="0" applyAlignment="1" pivotButton="0" quotePrefix="0" xfId="0">
      <alignment horizontal="center" vertical="center"/>
    </xf>
    <xf numFmtId="0" fontId="39" fillId="49" borderId="0" applyAlignment="1" pivotButton="0" quotePrefix="0" xfId="0">
      <alignment horizontal="center" vertical="center"/>
    </xf>
    <xf numFmtId="0" fontId="0" fillId="44" borderId="1" pivotButton="0" quotePrefix="0" xfId="0"/>
    <xf numFmtId="0" fontId="19" fillId="33" borderId="1" pivotButton="0" quotePrefix="0" xfId="0"/>
    <xf numFmtId="0" fontId="0" fillId="50" borderId="1" pivotButton="0" quotePrefix="0" xfId="0"/>
    <xf numFmtId="0" fontId="19" fillId="48" borderId="1" pivotButton="0" quotePrefix="0" xfId="0"/>
    <xf numFmtId="9" fontId="17" fillId="0" borderId="1" pivotButton="0" quotePrefix="0" xfId="0"/>
    <xf numFmtId="0" fontId="20" fillId="34" borderId="1" pivotButton="0" quotePrefix="0" xfId="0"/>
    <xf numFmtId="0" fontId="19" fillId="11" borderId="1" pivotButton="0" quotePrefix="0" xfId="0"/>
    <xf numFmtId="0" fontId="19" fillId="41" borderId="1" pivotButton="0" quotePrefix="0" xfId="0"/>
    <xf numFmtId="0" fontId="40" fillId="0" borderId="1" pivotButton="0" quotePrefix="0" xfId="0"/>
    <xf numFmtId="0" fontId="0" fillId="25" borderId="1" pivotButton="0" quotePrefix="0" xfId="0"/>
    <xf numFmtId="0" fontId="4" fillId="6" borderId="1" pivotButton="0" quotePrefix="0" xfId="0"/>
    <xf numFmtId="0" fontId="0" fillId="50" borderId="1" applyAlignment="1" pivotButton="0" quotePrefix="0" xfId="0">
      <alignment horizontal="center"/>
    </xf>
    <xf numFmtId="0" fontId="4" fillId="2" borderId="1" pivotButton="0" quotePrefix="0" xfId="0"/>
    <xf numFmtId="0" fontId="4" fillId="24" borderId="1" pivotButton="0" quotePrefix="0" xfId="0"/>
    <xf numFmtId="0" fontId="4" fillId="8" borderId="1" pivotButton="0" quotePrefix="0" xfId="0"/>
    <xf numFmtId="0" fontId="4" fillId="15" borderId="1" pivotButton="0" quotePrefix="0" xfId="0"/>
    <xf numFmtId="0" fontId="4" fillId="12" borderId="1" pivotButton="0" quotePrefix="0" xfId="0"/>
    <xf numFmtId="0" fontId="5" fillId="10" borderId="1" pivotButton="0" quotePrefix="0" xfId="0"/>
    <xf numFmtId="0" fontId="41" fillId="10" borderId="0" applyAlignment="1" pivotButton="0" quotePrefix="0" xfId="0">
      <alignment horizontal="center"/>
    </xf>
    <xf numFmtId="0" fontId="41" fillId="14" borderId="0" applyAlignment="1" pivotButton="0" quotePrefix="0" xfId="0">
      <alignment horizontal="center"/>
    </xf>
    <xf numFmtId="0" fontId="41" fillId="1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4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81C784"/>
          <bgColor rgb="0081C7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59B6"/>
    <outlinePr summaryBelow="1" summaryRight="1"/>
    <pageSetUpPr/>
  </sheetPr>
  <dimension ref="B2:Q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 ht="35" customHeight="1">
      <c r="B2" s="1" t="inlineStr">
        <is>
          <t>📅 CONTENT CALENDAR COMMAND CENTER</t>
        </is>
      </c>
    </row>
    <row r="3" ht="20" customHeight="1">
      <c r="B3" s="2" t="inlineStr">
        <is>
          <t>Plan • Schedule • Dominate</t>
        </is>
      </c>
    </row>
    <row r="5">
      <c r="B5" s="3" t="inlineStr">
        <is>
          <t>📆 JANUARY 2025</t>
        </is>
      </c>
      <c r="J5" s="4" t="inlineStr">
        <is>
          <t>📋 THIS WEEK'S PIPELINE</t>
        </is>
      </c>
    </row>
    <row r="6">
      <c r="B6" s="5" t="inlineStr">
        <is>
          <t>Mon</t>
        </is>
      </c>
      <c r="C6" s="5" t="inlineStr">
        <is>
          <t>Tue</t>
        </is>
      </c>
      <c r="D6" s="5" t="inlineStr">
        <is>
          <t>Wed</t>
        </is>
      </c>
      <c r="E6" s="5" t="inlineStr">
        <is>
          <t>Thu</t>
        </is>
      </c>
      <c r="F6" s="5" t="inlineStr">
        <is>
          <t>Fri</t>
        </is>
      </c>
      <c r="G6" s="5" t="inlineStr">
        <is>
          <t>Sat</t>
        </is>
      </c>
      <c r="H6" s="5" t="inlineStr">
        <is>
          <t>Sun</t>
        </is>
      </c>
      <c r="J6" s="6" t="inlineStr">
        <is>
          <t>Day</t>
        </is>
      </c>
      <c r="K6" s="6" t="inlineStr">
        <is>
          <t>Platform</t>
        </is>
      </c>
      <c r="L6" s="6" t="inlineStr">
        <is>
          <t>Content Type</t>
        </is>
      </c>
      <c r="M6" s="6" t="inlineStr">
        <is>
          <t>Title</t>
        </is>
      </c>
      <c r="N6" s="6" t="inlineStr">
        <is>
          <t>Status</t>
        </is>
      </c>
      <c r="O6" s="6" t="inlineStr">
        <is>
          <t>Priority</t>
        </is>
      </c>
      <c r="P6" s="6" t="inlineStr">
        <is>
          <t>Views Goal</t>
        </is>
      </c>
    </row>
    <row r="7" ht="35" customHeight="1">
      <c r="B7" s="7" t="n"/>
      <c r="C7" s="7" t="n"/>
      <c r="D7" s="8" t="n">
        <v>1</v>
      </c>
      <c r="E7" s="8" t="n">
        <v>2</v>
      </c>
      <c r="F7" s="8" t="n">
        <v>3</v>
      </c>
      <c r="G7" s="9" t="n">
        <v>4</v>
      </c>
      <c r="H7" s="9" t="n">
        <v>5</v>
      </c>
      <c r="J7" s="10" t="inlineStr">
        <is>
          <t>Monday</t>
        </is>
      </c>
      <c r="K7" s="11" t="inlineStr">
        <is>
          <t>YouTube</t>
        </is>
      </c>
      <c r="L7" s="10" t="inlineStr">
        <is>
          <t>Tutorial</t>
        </is>
      </c>
      <c r="M7" s="10" t="inlineStr">
        <is>
          <t>Advanced Excel Tips</t>
        </is>
      </c>
      <c r="N7" s="10" t="inlineStr">
        <is>
          <t>🟢 Ready</t>
        </is>
      </c>
      <c r="O7" s="10" t="inlineStr">
        <is>
          <t>🔥 High</t>
        </is>
      </c>
      <c r="P7" s="12" t="n">
        <v>50000</v>
      </c>
    </row>
    <row r="8" ht="35" customHeight="1">
      <c r="B8" s="13" t="inlineStr">
        <is>
          <t>6
🎬</t>
        </is>
      </c>
      <c r="C8" s="8" t="n">
        <v>7</v>
      </c>
      <c r="D8" s="14" t="inlineStr">
        <is>
          <t>8
📸</t>
        </is>
      </c>
      <c r="E8" s="8" t="n">
        <v>9</v>
      </c>
      <c r="F8" s="15" t="inlineStr">
        <is>
          <t>10
🎙️</t>
        </is>
      </c>
      <c r="G8" s="9" t="n">
        <v>11</v>
      </c>
      <c r="H8" s="9" t="n">
        <v>12</v>
      </c>
      <c r="J8" s="10" t="inlineStr">
        <is>
          <t>Tuesday</t>
        </is>
      </c>
      <c r="K8" s="16" t="inlineStr">
        <is>
          <t>Instagram</t>
        </is>
      </c>
      <c r="L8" s="10" t="inlineStr">
        <is>
          <t>Reel</t>
        </is>
      </c>
      <c r="M8" s="10" t="inlineStr">
        <is>
          <t>Behind the Scenes</t>
        </is>
      </c>
      <c r="N8" s="10" t="inlineStr">
        <is>
          <t>🟡 Editing</t>
        </is>
      </c>
      <c r="O8" s="10" t="inlineStr">
        <is>
          <t>⚡ Medium</t>
        </is>
      </c>
      <c r="P8" s="12" t="n">
        <v>25000</v>
      </c>
    </row>
    <row r="9" ht="35" customHeight="1">
      <c r="B9" s="13" t="inlineStr">
        <is>
          <t>13
🎬</t>
        </is>
      </c>
      <c r="C9" s="8" t="n">
        <v>14</v>
      </c>
      <c r="D9" s="17" t="inlineStr">
        <is>
          <t>15
📱</t>
        </is>
      </c>
      <c r="E9" s="8" t="n">
        <v>16</v>
      </c>
      <c r="F9" s="18" t="inlineStr">
        <is>
          <t>17
💼</t>
        </is>
      </c>
      <c r="G9" s="9" t="n">
        <v>18</v>
      </c>
      <c r="H9" s="9" t="n">
        <v>19</v>
      </c>
      <c r="J9" s="10" t="inlineStr">
        <is>
          <t>Wednesday</t>
        </is>
      </c>
      <c r="K9" s="19" t="inlineStr">
        <is>
          <t>TikTok</t>
        </is>
      </c>
      <c r="L9" s="10" t="inlineStr">
        <is>
          <t>Short</t>
        </is>
      </c>
      <c r="M9" s="10" t="inlineStr">
        <is>
          <t>Quick Tip #45</t>
        </is>
      </c>
      <c r="N9" s="10" t="inlineStr">
        <is>
          <t>🟢 Ready</t>
        </is>
      </c>
      <c r="O9" s="10" t="inlineStr">
        <is>
          <t>🔥 High</t>
        </is>
      </c>
      <c r="P9" s="12" t="n">
        <v>100000</v>
      </c>
    </row>
    <row r="10" ht="35" customHeight="1">
      <c r="B10" s="13" t="inlineStr">
        <is>
          <t>20
🎬</t>
        </is>
      </c>
      <c r="C10" s="8" t="n">
        <v>21</v>
      </c>
      <c r="D10" s="14" t="inlineStr">
        <is>
          <t>22
📸</t>
        </is>
      </c>
      <c r="E10" s="8" t="n">
        <v>23</v>
      </c>
      <c r="F10" s="15" t="inlineStr">
        <is>
          <t>24
🎙️</t>
        </is>
      </c>
      <c r="G10" s="9" t="n">
        <v>25</v>
      </c>
      <c r="H10" s="9" t="n">
        <v>26</v>
      </c>
      <c r="J10" s="10" t="inlineStr">
        <is>
          <t>Thursday</t>
        </is>
      </c>
      <c r="K10" s="20" t="inlineStr">
        <is>
          <t>Podcast</t>
        </is>
      </c>
      <c r="L10" s="10" t="inlineStr">
        <is>
          <t>Episode</t>
        </is>
      </c>
      <c r="M10" s="10" t="inlineStr">
        <is>
          <t>Interview: Tech CEO</t>
        </is>
      </c>
      <c r="N10" s="10" t="inlineStr">
        <is>
          <t>🔴 Recording</t>
        </is>
      </c>
      <c r="O10" s="10" t="inlineStr">
        <is>
          <t>⚡ Medium</t>
        </is>
      </c>
      <c r="P10" s="12" t="n">
        <v>15000</v>
      </c>
    </row>
    <row r="11" ht="35" customHeight="1">
      <c r="B11" s="13" t="inlineStr">
        <is>
          <t>27
🎬</t>
        </is>
      </c>
      <c r="C11" s="8" t="n">
        <v>28</v>
      </c>
      <c r="D11" s="17" t="inlineStr">
        <is>
          <t>29
📱</t>
        </is>
      </c>
      <c r="E11" s="8" t="n">
        <v>30</v>
      </c>
      <c r="F11" s="21" t="inlineStr">
        <is>
          <t>31
🔴</t>
        </is>
      </c>
      <c r="G11" s="7" t="n"/>
      <c r="H11" s="7" t="n"/>
      <c r="J11" s="10" t="inlineStr">
        <is>
          <t>Friday</t>
        </is>
      </c>
      <c r="K11" s="11" t="inlineStr">
        <is>
          <t>YouTube</t>
        </is>
      </c>
      <c r="L11" s="10" t="inlineStr">
        <is>
          <t>Vlog</t>
        </is>
      </c>
      <c r="M11" s="10" t="inlineStr">
        <is>
          <t>Week in My Life</t>
        </is>
      </c>
      <c r="N11" s="10" t="inlineStr">
        <is>
          <t>🟡 Editing</t>
        </is>
      </c>
      <c r="O11" s="10" t="inlineStr">
        <is>
          <t>🔥 High</t>
        </is>
      </c>
      <c r="P11" s="12" t="n">
        <v>75000</v>
      </c>
    </row>
    <row r="12" ht="35" customHeight="1">
      <c r="J12" s="10" t="inlineStr">
        <is>
          <t>Saturday</t>
        </is>
      </c>
      <c r="K12" s="16" t="inlineStr">
        <is>
          <t>Instagram</t>
        </is>
      </c>
      <c r="L12" s="10" t="inlineStr">
        <is>
          <t>Story</t>
        </is>
      </c>
      <c r="M12" s="10" t="inlineStr">
        <is>
          <t>Q&amp;A Session</t>
        </is>
      </c>
      <c r="N12" s="10" t="inlineStr">
        <is>
          <t>⚪ Planned</t>
        </is>
      </c>
      <c r="O12" s="10" t="inlineStr">
        <is>
          <t>💚 Low</t>
        </is>
      </c>
      <c r="P12" s="12" t="n">
        <v>10000</v>
      </c>
    </row>
    <row r="13">
      <c r="J13" s="10" t="inlineStr">
        <is>
          <t>Sunday</t>
        </is>
      </c>
      <c r="K13" s="22" t="inlineStr">
        <is>
          <t>Twitch</t>
        </is>
      </c>
      <c r="L13" s="10" t="inlineStr">
        <is>
          <t>Live</t>
        </is>
      </c>
      <c r="M13" s="10" t="inlineStr">
        <is>
          <t>Gaming Stream</t>
        </is>
      </c>
      <c r="N13" s="10" t="inlineStr">
        <is>
          <t>⚪ Planned</t>
        </is>
      </c>
      <c r="O13" s="10" t="inlineStr">
        <is>
          <t>⚡ Medium</t>
        </is>
      </c>
      <c r="P13" s="12" t="n">
        <v>5000</v>
      </c>
    </row>
    <row r="14">
      <c r="B14" s="23" t="inlineStr">
        <is>
          <t>🎨 CONTENT TYPES</t>
        </is>
      </c>
    </row>
    <row r="15">
      <c r="B15" s="24" t="inlineStr">
        <is>
          <t>■</t>
        </is>
      </c>
      <c r="C15" s="25" t="inlineStr">
        <is>
          <t>🎬 YouTube Video</t>
        </is>
      </c>
    </row>
    <row r="16">
      <c r="B16" s="26" t="inlineStr">
        <is>
          <t>■</t>
        </is>
      </c>
      <c r="C16" s="25" t="inlineStr">
        <is>
          <t>📸 Instagram Reel</t>
        </is>
      </c>
      <c r="J16" s="27" t="inlineStr">
        <is>
          <t>📊 PLATFORM PERFORMANCE MATRIX</t>
        </is>
      </c>
    </row>
    <row r="17">
      <c r="B17" s="28" t="inlineStr">
        <is>
          <t>■</t>
        </is>
      </c>
      <c r="C17" s="25" t="inlineStr">
        <is>
          <t>📱 TikTok</t>
        </is>
      </c>
      <c r="J17" s="29" t="inlineStr">
        <is>
          <t>Platform</t>
        </is>
      </c>
      <c r="K17" s="29" t="inlineStr">
        <is>
          <t>Followers</t>
        </is>
      </c>
      <c r="L17" s="29" t="inlineStr">
        <is>
          <t>Avg Views</t>
        </is>
      </c>
      <c r="M17" s="29" t="inlineStr">
        <is>
          <t>Eng Rate</t>
        </is>
      </c>
      <c r="N17" s="29" t="inlineStr">
        <is>
          <t>Revenue</t>
        </is>
      </c>
      <c r="O17" s="29" t="inlineStr">
        <is>
          <t>Growth</t>
        </is>
      </c>
      <c r="P17" s="29" t="inlineStr">
        <is>
          <t>Score</t>
        </is>
      </c>
    </row>
    <row r="18">
      <c r="B18" s="30" t="inlineStr">
        <is>
          <t>■</t>
        </is>
      </c>
      <c r="C18" s="25" t="inlineStr">
        <is>
          <t>🎙️ Podcast</t>
        </is>
      </c>
      <c r="J18" s="31" t="inlineStr">
        <is>
          <t>🎬 YouTube</t>
        </is>
      </c>
      <c r="K18" s="32" t="n">
        <v>125000</v>
      </c>
      <c r="L18" s="32" t="n">
        <v>45000</v>
      </c>
      <c r="M18" s="33" t="n">
        <v>0.065</v>
      </c>
      <c r="N18" s="34" t="n">
        <v>5500</v>
      </c>
      <c r="O18" s="35" t="n">
        <v>0.12</v>
      </c>
      <c r="P18" s="36">
        <f>AVERAGE(L18/100000,M18/50000,N18/0.1,O18/10000,P18/0.2)*100</f>
        <v/>
      </c>
    </row>
    <row r="19">
      <c r="B19" s="37" t="inlineStr">
        <is>
          <t>■</t>
        </is>
      </c>
      <c r="C19" s="25" t="inlineStr">
        <is>
          <t>💼 Sponsored</t>
        </is>
      </c>
      <c r="J19" s="38" t="inlineStr">
        <is>
          <t>📸 Instagram</t>
        </is>
      </c>
      <c r="K19" s="32" t="n">
        <v>85000</v>
      </c>
      <c r="L19" s="32" t="n">
        <v>12000</v>
      </c>
      <c r="M19" s="33" t="n">
        <v>0.082</v>
      </c>
      <c r="N19" s="34" t="n">
        <v>1800</v>
      </c>
      <c r="O19" s="35" t="n">
        <v>0.08</v>
      </c>
      <c r="P19" s="36">
        <f>AVERAGE(L19/100000,M19/50000,N19/0.1,O19/10000,P19/0.2)*100</f>
        <v/>
      </c>
    </row>
    <row r="20">
      <c r="B20" s="39" t="inlineStr">
        <is>
          <t>■</t>
        </is>
      </c>
      <c r="C20" s="25" t="inlineStr">
        <is>
          <t>🔴 Live Stream</t>
        </is>
      </c>
      <c r="J20" s="40" t="inlineStr">
        <is>
          <t>📱 TikTok</t>
        </is>
      </c>
      <c r="K20" s="32" t="n">
        <v>250000</v>
      </c>
      <c r="L20" s="32" t="n">
        <v>85000</v>
      </c>
      <c r="M20" s="33" t="n">
        <v>0.095</v>
      </c>
      <c r="N20" s="34" t="n">
        <v>2200</v>
      </c>
      <c r="O20" s="35" t="n">
        <v>0.25</v>
      </c>
      <c r="P20" s="36">
        <f>AVERAGE(L20/100000,M20/50000,N20/0.1,O20/10000,P20/0.2)*100</f>
        <v/>
      </c>
    </row>
    <row r="21">
      <c r="J21" s="41" t="inlineStr">
        <is>
          <t>🎙️ Podcast</t>
        </is>
      </c>
      <c r="K21" s="32" t="n">
        <v>15000</v>
      </c>
      <c r="L21" s="32" t="n">
        <v>8000</v>
      </c>
      <c r="M21" s="33" t="n">
        <v>0.12</v>
      </c>
      <c r="N21" s="34" t="n">
        <v>1200</v>
      </c>
      <c r="O21" s="35" t="n">
        <v>0.05</v>
      </c>
      <c r="P21" s="36">
        <f>AVERAGE(L21/100000,M21/50000,N21/0.1,O21/10000,P21/0.2)*100</f>
        <v/>
      </c>
    </row>
    <row r="22">
      <c r="B22" s="42" t="inlineStr">
        <is>
          <t>🏆 MONTHLY SCORECARD</t>
        </is>
      </c>
      <c r="J22" s="43" t="inlineStr">
        <is>
          <t>💜 Twitch</t>
        </is>
      </c>
      <c r="K22" s="32" t="n">
        <v>8500</v>
      </c>
      <c r="L22" s="32" t="n">
        <v>450</v>
      </c>
      <c r="M22" s="33" t="n">
        <v>0.15</v>
      </c>
      <c r="N22" s="34" t="n">
        <v>800</v>
      </c>
      <c r="O22" s="35" t="n">
        <v>0.03</v>
      </c>
      <c r="P22" s="36">
        <f>AVERAGE(L22/100000,M22/50000,N22/0.1,O22/10000,P22/0.2)*100</f>
        <v/>
      </c>
    </row>
    <row r="23">
      <c r="B23" s="44" t="inlineStr">
        <is>
          <t>Metric</t>
        </is>
      </c>
      <c r="C23" s="44" t="inlineStr">
        <is>
          <t>Goal</t>
        </is>
      </c>
      <c r="D23" s="44" t="inlineStr">
        <is>
          <t>Actual</t>
        </is>
      </c>
      <c r="E23" s="44" t="inlineStr">
        <is>
          <t>Progress</t>
        </is>
      </c>
      <c r="F23" s="44" t="inlineStr">
        <is>
          <t>Status</t>
        </is>
      </c>
      <c r="G23" s="44" t="inlineStr">
        <is>
          <t>Trend</t>
        </is>
      </c>
    </row>
    <row r="24">
      <c r="B24" s="45" t="inlineStr">
        <is>
          <t>Videos Published</t>
        </is>
      </c>
      <c r="C24" s="46" t="n">
        <v>12</v>
      </c>
      <c r="D24" s="47" t="n">
        <v>10</v>
      </c>
      <c r="E24" s="48">
        <f>C24/B24</f>
        <v/>
      </c>
      <c r="F24" s="45">
        <f>IF(D24&gt;=0.9,"OK",IF(D24&gt;=0.7,"WARN","LOW"))</f>
        <v/>
      </c>
      <c r="G24" s="45" t="inlineStr">
        <is>
          <t>Up</t>
        </is>
      </c>
      <c r="J24" s="49" t="inlineStr">
        <is>
          <t>⚡ QUICK STATS</t>
        </is>
      </c>
    </row>
    <row r="25">
      <c r="B25" s="45" t="inlineStr">
        <is>
          <t>Total Views</t>
        </is>
      </c>
      <c r="C25" s="46" t="n">
        <v>500000</v>
      </c>
      <c r="D25" s="47" t="n">
        <v>485000</v>
      </c>
      <c r="E25" s="48">
        <f>C25/B25</f>
        <v/>
      </c>
      <c r="F25" s="45">
        <f>IF(D25&gt;=0.9,"OK",IF(D25&gt;=0.7,"WARN","LOW"))</f>
        <v/>
      </c>
      <c r="G25" s="45" t="inlineStr">
        <is>
          <t>Up</t>
        </is>
      </c>
      <c r="J25" s="50" t="inlineStr">
        <is>
          <t>Total Followers</t>
        </is>
      </c>
      <c r="L25" s="51" t="inlineStr">
        <is>
          <t>Monthly Views</t>
        </is>
      </c>
      <c r="N25" s="52" t="inlineStr">
        <is>
          <t>Avg Engagement</t>
        </is>
      </c>
      <c r="P25" s="53" t="inlineStr">
        <is>
          <t>Monthly Revenue</t>
        </is>
      </c>
    </row>
    <row r="26">
      <c r="B26" s="45" t="inlineStr">
        <is>
          <t>New Subscribers</t>
        </is>
      </c>
      <c r="C26" s="46" t="n">
        <v>5000</v>
      </c>
      <c r="D26" s="47" t="n">
        <v>6200</v>
      </c>
      <c r="E26" s="48">
        <f>C26/B26</f>
        <v/>
      </c>
      <c r="F26" s="45">
        <f>IF(D26&gt;=0.9,"OK",IF(D26&gt;=0.7,"WARN","LOW"))</f>
        <v/>
      </c>
      <c r="G26" s="45" t="inlineStr">
        <is>
          <t>Up</t>
        </is>
      </c>
      <c r="J26" s="54">
        <f>SUM(L18:L22)</f>
        <v/>
      </c>
      <c r="L26" s="55">
        <f>SUM(M18:M22)*4</f>
        <v/>
      </c>
      <c r="N26" s="56">
        <f>AVERAGE(N18:N22)</f>
        <v/>
      </c>
      <c r="P26" s="57">
        <f>SUM(O18:O22)</f>
        <v/>
      </c>
    </row>
    <row r="27">
      <c r="B27" s="45" t="inlineStr">
        <is>
          <t>Engagement Rate</t>
        </is>
      </c>
      <c r="C27" s="58" t="n">
        <v>0.08</v>
      </c>
      <c r="D27" s="59" t="n">
        <v>0.092</v>
      </c>
      <c r="E27" s="48">
        <f>C27/B27</f>
        <v/>
      </c>
      <c r="F27" s="45">
        <f>IF(D27&gt;=0.9,"OK",IF(D27&gt;=0.7,"WARN","LOW"))</f>
        <v/>
      </c>
      <c r="G27" s="45" t="inlineStr">
        <is>
          <t>Up</t>
        </is>
      </c>
    </row>
    <row r="28">
      <c r="B28" s="45" t="inlineStr">
        <is>
          <t>Revenue ($)</t>
        </is>
      </c>
      <c r="C28" s="60" t="n">
        <v>8500</v>
      </c>
      <c r="D28" s="61" t="n">
        <v>9200</v>
      </c>
      <c r="E28" s="48">
        <f>C28/B28</f>
        <v/>
      </c>
      <c r="F28" s="45">
        <f>IF(D28&gt;=0.9,"OK",IF(D28&gt;=0.7,"WARN","LOW"))</f>
        <v/>
      </c>
      <c r="G28" s="45" t="inlineStr">
        <is>
          <t>Up</t>
        </is>
      </c>
    </row>
    <row r="29">
      <c r="B29" s="45" t="inlineStr">
        <is>
          <t>Brand Deals</t>
        </is>
      </c>
      <c r="C29" s="46" t="n">
        <v>3</v>
      </c>
      <c r="D29" s="47" t="n">
        <v>4</v>
      </c>
      <c r="E29" s="48">
        <f>C29/B29</f>
        <v/>
      </c>
      <c r="F29" s="45">
        <f>IF(D29&gt;=0.9,"OK",IF(D29&gt;=0.7,"WARN","LOW"))</f>
        <v/>
      </c>
      <c r="G29" s="45" t="inlineStr">
        <is>
          <t>Up</t>
        </is>
      </c>
    </row>
  </sheetData>
  <mergeCells count="16">
    <mergeCell ref="N26:O26"/>
    <mergeCell ref="B22:H22"/>
    <mergeCell ref="L26:M26"/>
    <mergeCell ref="P26:Q26"/>
    <mergeCell ref="B14:D14"/>
    <mergeCell ref="B2:P2"/>
    <mergeCell ref="J16:P16"/>
    <mergeCell ref="B3:P3"/>
    <mergeCell ref="J25:K25"/>
    <mergeCell ref="N25:O25"/>
    <mergeCell ref="L25:M25"/>
    <mergeCell ref="P25:Q25"/>
    <mergeCell ref="J5:P5"/>
    <mergeCell ref="J24:P24"/>
    <mergeCell ref="B5:H5"/>
    <mergeCell ref="J26:K26"/>
  </mergeCells>
  <conditionalFormatting sqref="E24:E29">
    <cfRule type="dataBar" priority="1">
      <dataBar showValue="1">
        <cfvo type="num" val="0"/>
        <cfvo type="num" val="1.5"/>
        <color rgb="0000E676"/>
      </dataBar>
    </cfRule>
  </conditionalFormatting>
  <conditionalFormatting sqref="P18:P22">
    <cfRule type="colorScale" priority="2">
      <colorScale>
        <cfvo type="num" val="0"/>
        <cfvo type="num" val="50"/>
        <cfvo type="num" val="10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B2:R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35" customHeight="1">
      <c r="B2" s="62" t="inlineStr">
        <is>
          <t>🎬 VIDEO PERFORMANCE ANALYTICS</t>
        </is>
      </c>
    </row>
    <row r="3" ht="20" customHeight="1">
      <c r="B3" s="63" t="inlineStr">
        <is>
          <t>Track • Analyze • Optimize</t>
        </is>
      </c>
    </row>
    <row r="5">
      <c r="B5" s="64" t="inlineStr">
        <is>
          <t>🏆 TOP 10 PERFORMING VIDEOS</t>
        </is>
      </c>
      <c r="N5" s="3" t="inlineStr">
        <is>
          <t>📂 CATEGORY BREAKDOWN</t>
        </is>
      </c>
    </row>
    <row r="6">
      <c r="B6" s="65" t="inlineStr">
        <is>
          <t>Rank</t>
        </is>
      </c>
      <c r="C6" s="65" t="inlineStr">
        <is>
          <t>Video Title</t>
        </is>
      </c>
      <c r="D6" s="65" t="inlineStr">
        <is>
          <t>Upload Date</t>
        </is>
      </c>
      <c r="E6" s="65" t="inlineStr">
        <is>
          <t>Views</t>
        </is>
      </c>
      <c r="F6" s="65" t="inlineStr">
        <is>
          <t>Likes</t>
        </is>
      </c>
      <c r="G6" s="65" t="inlineStr">
        <is>
          <t>Comments</t>
        </is>
      </c>
      <c r="H6" s="65" t="inlineStr">
        <is>
          <t>Watch Time (hrs)</t>
        </is>
      </c>
      <c r="I6" s="65" t="inlineStr">
        <is>
          <t>CTR</t>
        </is>
      </c>
      <c r="J6" s="65" t="inlineStr">
        <is>
          <t>Avg View %</t>
        </is>
      </c>
      <c r="K6" s="65" t="inlineStr">
        <is>
          <t>Revenue</t>
        </is>
      </c>
      <c r="L6" s="65" t="inlineStr">
        <is>
          <t>Score</t>
        </is>
      </c>
      <c r="N6" s="66" t="inlineStr">
        <is>
          <t>Category</t>
        </is>
      </c>
      <c r="O6" s="66" t="inlineStr">
        <is>
          <t>Videos</t>
        </is>
      </c>
      <c r="P6" s="66" t="inlineStr">
        <is>
          <t>Avg Views</t>
        </is>
      </c>
      <c r="Q6" s="66" t="inlineStr">
        <is>
          <t>Total Rev</t>
        </is>
      </c>
      <c r="R6" s="66" t="inlineStr">
        <is>
          <t>% of Total</t>
        </is>
      </c>
    </row>
    <row r="7">
      <c r="B7" s="67" t="n">
        <v>1</v>
      </c>
      <c r="C7" s="45" t="inlineStr">
        <is>
          <t>10 Excel Tricks You NEED to Know</t>
        </is>
      </c>
      <c r="D7" s="45" t="inlineStr">
        <is>
          <t>2024-12-15</t>
        </is>
      </c>
      <c r="E7" s="46" t="n">
        <v>285000</v>
      </c>
      <c r="F7" s="46" t="n">
        <v>18500</v>
      </c>
      <c r="G7" s="46" t="n">
        <v>2400</v>
      </c>
      <c r="H7" s="46" t="n">
        <v>42000</v>
      </c>
      <c r="I7" s="58" t="n">
        <v>0.08500000000000001</v>
      </c>
      <c r="J7" s="48" t="n">
        <v>0.52</v>
      </c>
      <c r="K7" s="60">
        <f>E7*0.004</f>
        <v/>
      </c>
      <c r="L7" s="68">
        <f>((E7/300000)+(F7/20000)+(G7/3000)+(I7/0.1)+(J7/0.6))/5*100</f>
        <v/>
      </c>
      <c r="N7" s="69" t="inlineStr">
        <is>
          <t>Tutorials</t>
        </is>
      </c>
      <c r="O7" s="45" t="n">
        <v>25</v>
      </c>
      <c r="P7" s="46" t="n">
        <v>85000</v>
      </c>
      <c r="Q7" s="60" t="n">
        <v>8500</v>
      </c>
      <c r="R7" s="58">
        <f>Q7/27280</f>
        <v/>
      </c>
    </row>
    <row r="8">
      <c r="B8" s="70" t="n">
        <v>2</v>
      </c>
      <c r="C8" s="45" t="inlineStr">
        <is>
          <t>I Made $10K in One Week - Here's How</t>
        </is>
      </c>
      <c r="D8" s="45" t="inlineStr">
        <is>
          <t>2024-12-01</t>
        </is>
      </c>
      <c r="E8" s="46" t="n">
        <v>215000</v>
      </c>
      <c r="F8" s="46" t="n">
        <v>15200</v>
      </c>
      <c r="G8" s="46" t="n">
        <v>3100</v>
      </c>
      <c r="H8" s="46" t="n">
        <v>38000</v>
      </c>
      <c r="I8" s="58" t="n">
        <v>0.07199999999999999</v>
      </c>
      <c r="J8" s="48" t="n">
        <v>0.48</v>
      </c>
      <c r="K8" s="60">
        <f>E8*0.004</f>
        <v/>
      </c>
      <c r="L8" s="68">
        <f>((E8/300000)+(F8/20000)+(G8/3000)+(I8/0.1)+(J8/0.6))/5*100</f>
        <v/>
      </c>
      <c r="N8" s="71" t="inlineStr">
        <is>
          <t>Vlogs</t>
        </is>
      </c>
      <c r="O8" s="45" t="n">
        <v>18</v>
      </c>
      <c r="P8" s="46" t="n">
        <v>65000</v>
      </c>
      <c r="Q8" s="60" t="n">
        <v>4680</v>
      </c>
      <c r="R8" s="58">
        <f>Q8/27280</f>
        <v/>
      </c>
    </row>
    <row r="9">
      <c r="B9" s="72" t="n">
        <v>3</v>
      </c>
      <c r="C9" s="45" t="inlineStr">
        <is>
          <t>Complete Beginner's Guide to AI</t>
        </is>
      </c>
      <c r="D9" s="45" t="inlineStr">
        <is>
          <t>2024-11-20</t>
        </is>
      </c>
      <c r="E9" s="46" t="n">
        <v>185000</v>
      </c>
      <c r="F9" s="46" t="n">
        <v>12800</v>
      </c>
      <c r="G9" s="46" t="n">
        <v>1850</v>
      </c>
      <c r="H9" s="46" t="n">
        <v>35000</v>
      </c>
      <c r="I9" s="58" t="n">
        <v>0.068</v>
      </c>
      <c r="J9" s="48" t="n">
        <v>0.55</v>
      </c>
      <c r="K9" s="60">
        <f>E9*0.004</f>
        <v/>
      </c>
      <c r="L9" s="68">
        <f>((E9/300000)+(F9/20000)+(G9/3000)+(I9/0.1)+(J9/0.6))/5*100</f>
        <v/>
      </c>
      <c r="N9" s="73" t="inlineStr">
        <is>
          <t>Reviews</t>
        </is>
      </c>
      <c r="O9" s="45" t="n">
        <v>12</v>
      </c>
      <c r="P9" s="46" t="n">
        <v>95000</v>
      </c>
      <c r="Q9" s="60" t="n">
        <v>4560</v>
      </c>
      <c r="R9" s="58">
        <f>Q9/27280</f>
        <v/>
      </c>
    </row>
    <row r="10">
      <c r="B10" s="74" t="n">
        <v>4</v>
      </c>
      <c r="C10" s="45" t="inlineStr">
        <is>
          <t>Day in My Life as a Creator</t>
        </is>
      </c>
      <c r="D10" s="45" t="inlineStr">
        <is>
          <t>2024-12-10</t>
        </is>
      </c>
      <c r="E10" s="46" t="n">
        <v>165000</v>
      </c>
      <c r="F10" s="46" t="n">
        <v>14500</v>
      </c>
      <c r="G10" s="46" t="n">
        <v>2200</v>
      </c>
      <c r="H10" s="46" t="n">
        <v>28000</v>
      </c>
      <c r="I10" s="58" t="n">
        <v>0.092</v>
      </c>
      <c r="J10" s="48" t="n">
        <v>0.42</v>
      </c>
      <c r="K10" s="60">
        <f>E10*0.004</f>
        <v/>
      </c>
      <c r="L10" s="68">
        <f>((E10/300000)+(F10/20000)+(G10/3000)+(I10/0.1)+(J10/0.6))/5*100</f>
        <v/>
      </c>
      <c r="N10" s="75" t="inlineStr">
        <is>
          <t>Shorts</t>
        </is>
      </c>
      <c r="O10" s="45" t="n">
        <v>45</v>
      </c>
      <c r="P10" s="46" t="n">
        <v>25000</v>
      </c>
      <c r="Q10" s="60" t="n">
        <v>4500</v>
      </c>
      <c r="R10" s="58">
        <f>Q10/27280</f>
        <v/>
      </c>
    </row>
    <row r="11">
      <c r="B11" s="74" t="n">
        <v>5</v>
      </c>
      <c r="C11" s="45" t="inlineStr">
        <is>
          <t>Best Tech of 2024</t>
        </is>
      </c>
      <c r="D11" s="45" t="inlineStr">
        <is>
          <t>2024-12-20</t>
        </is>
      </c>
      <c r="E11" s="46" t="n">
        <v>145000</v>
      </c>
      <c r="F11" s="46" t="n">
        <v>9800</v>
      </c>
      <c r="G11" s="46" t="n">
        <v>1200</v>
      </c>
      <c r="H11" s="46" t="n">
        <v>25000</v>
      </c>
      <c r="I11" s="58" t="n">
        <v>0.058</v>
      </c>
      <c r="J11" s="48" t="n">
        <v>0.38</v>
      </c>
      <c r="K11" s="60">
        <f>E11*0.004</f>
        <v/>
      </c>
      <c r="L11" s="68">
        <f>((E11/300000)+(F11/20000)+(G11/3000)+(I11/0.1)+(J11/0.6))/5*100</f>
        <v/>
      </c>
      <c r="N11" s="76" t="inlineStr">
        <is>
          <t>Collabs</t>
        </is>
      </c>
      <c r="O11" s="45" t="n">
        <v>8</v>
      </c>
      <c r="P11" s="46" t="n">
        <v>120000</v>
      </c>
      <c r="Q11" s="60" t="n">
        <v>3840</v>
      </c>
      <c r="R11" s="58">
        <f>Q11/27280</f>
        <v/>
      </c>
    </row>
    <row r="12">
      <c r="B12" s="74" t="n">
        <v>6</v>
      </c>
      <c r="C12" s="45" t="inlineStr">
        <is>
          <t>How I Edit My Videos</t>
        </is>
      </c>
      <c r="D12" s="45" t="inlineStr">
        <is>
          <t>2024-11-15</t>
        </is>
      </c>
      <c r="E12" s="46" t="n">
        <v>125000</v>
      </c>
      <c r="F12" s="46" t="n">
        <v>11200</v>
      </c>
      <c r="G12" s="46" t="n">
        <v>1650</v>
      </c>
      <c r="H12" s="46" t="n">
        <v>22000</v>
      </c>
      <c r="I12" s="58" t="n">
        <v>0.065</v>
      </c>
      <c r="J12" s="48" t="n">
        <v>0.45</v>
      </c>
      <c r="K12" s="60">
        <f>E12*0.004</f>
        <v/>
      </c>
      <c r="L12" s="68">
        <f>((E12/300000)+(F12/20000)+(G12/3000)+(I12/0.1)+(J12/0.6))/5*100</f>
        <v/>
      </c>
      <c r="N12" s="77" t="inlineStr">
        <is>
          <t>Live VODs</t>
        </is>
      </c>
      <c r="O12" s="45" t="n">
        <v>20</v>
      </c>
      <c r="P12" s="46" t="n">
        <v>15000</v>
      </c>
      <c r="Q12" s="60" t="n">
        <v>1200</v>
      </c>
      <c r="R12" s="58">
        <f>Q12/27280</f>
        <v/>
      </c>
    </row>
    <row r="13">
      <c r="B13" s="74" t="n">
        <v>7</v>
      </c>
      <c r="C13" s="45" t="inlineStr">
        <is>
          <t>Studio Tour 2024</t>
        </is>
      </c>
      <c r="D13" s="45" t="inlineStr">
        <is>
          <t>2024-11-01</t>
        </is>
      </c>
      <c r="E13" s="46" t="n">
        <v>115000</v>
      </c>
      <c r="F13" s="46" t="n">
        <v>10500</v>
      </c>
      <c r="G13" s="46" t="n">
        <v>980</v>
      </c>
      <c r="H13" s="46" t="n">
        <v>18000</v>
      </c>
      <c r="I13" s="58" t="n">
        <v>0.078</v>
      </c>
      <c r="J13" s="48" t="n">
        <v>0.35</v>
      </c>
      <c r="K13" s="60">
        <f>E13*0.004</f>
        <v/>
      </c>
      <c r="L13" s="68">
        <f>((E13/300000)+(F13/20000)+(G13/3000)+(I13/0.1)+(J13/0.6))/5*100</f>
        <v/>
      </c>
    </row>
    <row r="14">
      <c r="B14" s="74" t="n">
        <v>8</v>
      </c>
      <c r="C14" s="45" t="inlineStr">
        <is>
          <t>Reacting to My Old Videos</t>
        </is>
      </c>
      <c r="D14" s="45" t="inlineStr">
        <is>
          <t>2024-12-05</t>
        </is>
      </c>
      <c r="E14" s="46" t="n">
        <v>98000</v>
      </c>
      <c r="F14" s="46" t="n">
        <v>8900</v>
      </c>
      <c r="G14" s="46" t="n">
        <v>1450</v>
      </c>
      <c r="H14" s="46" t="n">
        <v>15000</v>
      </c>
      <c r="I14" s="58" t="n">
        <v>0.082</v>
      </c>
      <c r="J14" s="48" t="n">
        <v>0.4</v>
      </c>
      <c r="K14" s="60">
        <f>E14*0.004</f>
        <v/>
      </c>
      <c r="L14" s="68">
        <f>((E14/300000)+(F14/20000)+(G14/3000)+(I14/0.1)+(J14/0.6))/5*100</f>
        <v/>
      </c>
      <c r="N14" s="42" t="inlineStr">
        <is>
          <t>💬 ENGAGEMENT DASHBOARD</t>
        </is>
      </c>
    </row>
    <row r="15">
      <c r="B15" s="74" t="n">
        <v>9</v>
      </c>
      <c r="C15" s="45" t="inlineStr">
        <is>
          <t>Q&amp;A: 100K Subscribers Special</t>
        </is>
      </c>
      <c r="D15" s="45" t="inlineStr">
        <is>
          <t>2024-10-25</t>
        </is>
      </c>
      <c r="E15" s="46" t="n">
        <v>85000</v>
      </c>
      <c r="F15" s="46" t="n">
        <v>9200</v>
      </c>
      <c r="G15" s="46" t="n">
        <v>2800</v>
      </c>
      <c r="H15" s="46" t="n">
        <v>14000</v>
      </c>
      <c r="I15" s="58" t="n">
        <v>0.095</v>
      </c>
      <c r="J15" s="48" t="n">
        <v>0.48</v>
      </c>
      <c r="K15" s="60">
        <f>E15*0.004</f>
        <v/>
      </c>
      <c r="L15" s="68">
        <f>((E15/300000)+(F15/20000)+(G15/3000)+(I15/0.1)+(J15/0.6))/5*100</f>
        <v/>
      </c>
      <c r="N15" s="73" t="inlineStr">
        <is>
          <t>📊 Avg Like Rate</t>
        </is>
      </c>
      <c r="O15" s="78" t="n"/>
      <c r="P15" s="79" t="n"/>
      <c r="Q15" s="80">
        <f>SUM(F7:F16)/SUM(E7:E16)</f>
        <v/>
      </c>
      <c r="R15" s="79" t="n"/>
    </row>
    <row r="16">
      <c r="B16" s="74" t="n">
        <v>10</v>
      </c>
      <c r="C16" s="45" t="inlineStr">
        <is>
          <t>Unboxing New Camera Gear</t>
        </is>
      </c>
      <c r="D16" s="45" t="inlineStr">
        <is>
          <t>2024-12-18</t>
        </is>
      </c>
      <c r="E16" s="46" t="n">
        <v>72000</v>
      </c>
      <c r="F16" s="46" t="n">
        <v>5800</v>
      </c>
      <c r="G16" s="46" t="n">
        <v>650</v>
      </c>
      <c r="H16" s="46" t="n">
        <v>10000</v>
      </c>
      <c r="I16" s="58" t="n">
        <v>0.055</v>
      </c>
      <c r="J16" s="48" t="n">
        <v>0.32</v>
      </c>
      <c r="K16" s="60">
        <f>E16*0.004</f>
        <v/>
      </c>
      <c r="L16" s="68">
        <f>((E16/300000)+(F16/20000)+(G16/3000)+(I16/0.1)+(J16/0.6))/5*100</f>
        <v/>
      </c>
      <c r="N16" s="69" t="inlineStr">
        <is>
          <t>💬 Comment Rate</t>
        </is>
      </c>
      <c r="O16" s="78" t="n"/>
      <c r="P16" s="79" t="n"/>
      <c r="Q16" s="81">
        <f>SUM(G7:G16)/SUM(E7:E16)</f>
        <v/>
      </c>
      <c r="R16" s="79" t="n"/>
    </row>
    <row r="17">
      <c r="N17" s="76" t="inlineStr">
        <is>
          <t>⏱️ Avg Watch Time</t>
        </is>
      </c>
      <c r="O17" s="78" t="n"/>
      <c r="P17" s="79" t="n"/>
      <c r="Q17" s="82">
        <f>AVERAGE(H7:H16)</f>
        <v/>
      </c>
      <c r="R17" s="79" t="n"/>
    </row>
    <row r="18">
      <c r="N18" s="75" t="inlineStr">
        <is>
          <t>🎯 Avg CTR</t>
        </is>
      </c>
      <c r="O18" s="78" t="n"/>
      <c r="P18" s="79" t="n"/>
      <c r="Q18" s="83">
        <f>AVERAGE(I7:I16)</f>
        <v/>
      </c>
      <c r="R18" s="79" t="n"/>
    </row>
    <row r="19">
      <c r="B19" s="4" t="inlineStr">
        <is>
          <t>📅 MONTHLY UPLOAD TRACKER</t>
        </is>
      </c>
      <c r="N19" s="71" t="inlineStr">
        <is>
          <t>📈 Avg Retention</t>
        </is>
      </c>
      <c r="O19" s="78" t="n"/>
      <c r="P19" s="79" t="n"/>
      <c r="Q19" s="84">
        <f>AVERAGE(J7:J16)</f>
        <v/>
      </c>
      <c r="R19" s="79" t="n"/>
    </row>
    <row r="20">
      <c r="B20" s="85" t="inlineStr">
        <is>
          <t>Metric</t>
        </is>
      </c>
      <c r="C20" s="85" t="inlineStr">
        <is>
          <t>Jan</t>
        </is>
      </c>
      <c r="D20" s="85" t="inlineStr">
        <is>
          <t>Feb</t>
        </is>
      </c>
      <c r="E20" s="85" t="inlineStr">
        <is>
          <t>Mar</t>
        </is>
      </c>
      <c r="F20" s="85" t="inlineStr">
        <is>
          <t>Apr</t>
        </is>
      </c>
      <c r="G20" s="85" t="inlineStr">
        <is>
          <t>May</t>
        </is>
      </c>
      <c r="H20" s="85" t="inlineStr">
        <is>
          <t>Jun</t>
        </is>
      </c>
      <c r="I20" s="85" t="inlineStr">
        <is>
          <t>Jul</t>
        </is>
      </c>
      <c r="J20" s="85" t="inlineStr">
        <is>
          <t>Aug</t>
        </is>
      </c>
      <c r="K20" s="85" t="inlineStr">
        <is>
          <t>Sep</t>
        </is>
      </c>
      <c r="L20" s="85" t="inlineStr">
        <is>
          <t>Oct</t>
        </is>
      </c>
      <c r="M20" s="85" t="inlineStr">
        <is>
          <t>Nov</t>
        </is>
      </c>
      <c r="N20" s="85" t="inlineStr">
        <is>
          <t>Dec</t>
        </is>
      </c>
    </row>
    <row r="21">
      <c r="B21" s="86" t="inlineStr">
        <is>
          <t>Videos Uploaded</t>
        </is>
      </c>
      <c r="C21" s="32" t="n">
        <v>8</v>
      </c>
      <c r="D21" s="32" t="n">
        <v>10</v>
      </c>
      <c r="E21" s="32" t="n">
        <v>9</v>
      </c>
      <c r="F21" s="32" t="n">
        <v>12</v>
      </c>
      <c r="G21" s="32" t="n">
        <v>11</v>
      </c>
      <c r="H21" s="32" t="n">
        <v>10</v>
      </c>
      <c r="I21" s="32" t="n">
        <v>8</v>
      </c>
      <c r="J21" s="32" t="n">
        <v>9</v>
      </c>
      <c r="K21" s="32" t="n">
        <v>11</v>
      </c>
      <c r="L21" s="32" t="n">
        <v>12</v>
      </c>
      <c r="M21" s="32" t="n">
        <v>10</v>
      </c>
      <c r="N21" s="32" t="n">
        <v>14</v>
      </c>
    </row>
    <row r="22">
      <c r="B22" s="87" t="inlineStr">
        <is>
          <t>Total Views (K)</t>
        </is>
      </c>
      <c r="C22" s="32" t="n">
        <v>320</v>
      </c>
      <c r="D22" s="32" t="n">
        <v>380</v>
      </c>
      <c r="E22" s="32" t="n">
        <v>350</v>
      </c>
      <c r="F22" s="32" t="n">
        <v>420</v>
      </c>
      <c r="G22" s="32" t="n">
        <v>450</v>
      </c>
      <c r="H22" s="32" t="n">
        <v>410</v>
      </c>
      <c r="I22" s="32" t="n">
        <v>380</v>
      </c>
      <c r="J22" s="32" t="n">
        <v>400</v>
      </c>
      <c r="K22" s="32" t="n">
        <v>480</v>
      </c>
      <c r="L22" s="32" t="n">
        <v>520</v>
      </c>
      <c r="M22" s="32" t="n">
        <v>490</v>
      </c>
      <c r="N22" s="32" t="n">
        <v>580</v>
      </c>
    </row>
    <row r="23">
      <c r="B23" s="88" t="inlineStr">
        <is>
          <t>Watch Time (K hrs)</t>
        </is>
      </c>
      <c r="C23" s="32" t="n">
        <v>45</v>
      </c>
      <c r="D23" s="32" t="n">
        <v>52</v>
      </c>
      <c r="E23" s="32" t="n">
        <v>48</v>
      </c>
      <c r="F23" s="32" t="n">
        <v>58</v>
      </c>
      <c r="G23" s="32" t="n">
        <v>62</v>
      </c>
      <c r="H23" s="32" t="n">
        <v>55</v>
      </c>
      <c r="I23" s="32" t="n">
        <v>50</v>
      </c>
      <c r="J23" s="32" t="n">
        <v>54</v>
      </c>
      <c r="K23" s="32" t="n">
        <v>65</v>
      </c>
      <c r="L23" s="32" t="n">
        <v>72</v>
      </c>
      <c r="M23" s="32" t="n">
        <v>68</v>
      </c>
      <c r="N23" s="32" t="n">
        <v>82</v>
      </c>
    </row>
    <row r="24">
      <c r="B24" s="89" t="inlineStr">
        <is>
          <t>New Subs</t>
        </is>
      </c>
      <c r="C24" s="32" t="n">
        <v>2800</v>
      </c>
      <c r="D24" s="32" t="n">
        <v>3200</v>
      </c>
      <c r="E24" s="32" t="n">
        <v>3000</v>
      </c>
      <c r="F24" s="32" t="n">
        <v>4100</v>
      </c>
      <c r="G24" s="32" t="n">
        <v>4500</v>
      </c>
      <c r="H24" s="32" t="n">
        <v>3800</v>
      </c>
      <c r="I24" s="32" t="n">
        <v>3400</v>
      </c>
      <c r="J24" s="32" t="n">
        <v>3600</v>
      </c>
      <c r="K24" s="32" t="n">
        <v>4800</v>
      </c>
      <c r="L24" s="32" t="n">
        <v>5200</v>
      </c>
      <c r="M24" s="32" t="n">
        <v>4900</v>
      </c>
      <c r="N24" s="32" t="n">
        <v>6200</v>
      </c>
    </row>
    <row r="25">
      <c r="B25" s="90" t="inlineStr">
        <is>
          <t>Revenue ($)</t>
        </is>
      </c>
      <c r="C25" s="34" t="n">
        <v>4200</v>
      </c>
      <c r="D25" s="34" t="n">
        <v>5100</v>
      </c>
      <c r="E25" s="34" t="n">
        <v>4800</v>
      </c>
      <c r="F25" s="34" t="n">
        <v>5800</v>
      </c>
      <c r="G25" s="34" t="n">
        <v>6200</v>
      </c>
      <c r="H25" s="34" t="n">
        <v>5600</v>
      </c>
      <c r="I25" s="34" t="n">
        <v>5100</v>
      </c>
      <c r="J25" s="34" t="n">
        <v>5400</v>
      </c>
      <c r="K25" s="34" t="n">
        <v>6500</v>
      </c>
      <c r="L25" s="34" t="n">
        <v>7200</v>
      </c>
      <c r="M25" s="34" t="n">
        <v>6800</v>
      </c>
      <c r="N25" s="34" t="n">
        <v>8200</v>
      </c>
    </row>
    <row r="28">
      <c r="B28" s="49" t="inlineStr">
        <is>
          <t>🚀 VIRAL POTENTIAL CALCULATOR</t>
        </is>
      </c>
    </row>
    <row r="29">
      <c r="B29" s="91" t="inlineStr">
        <is>
          <t>Factor</t>
        </is>
      </c>
      <c r="C29" s="91" t="inlineStr">
        <is>
          <t>Weight</t>
        </is>
      </c>
      <c r="D29" s="91" t="inlineStr">
        <is>
          <t>Your Score</t>
        </is>
      </c>
      <c r="E29" s="91" t="inlineStr">
        <is>
          <t>Weighted</t>
        </is>
      </c>
      <c r="F29" s="91" t="inlineStr">
        <is>
          <t>Benchmark</t>
        </is>
      </c>
    </row>
    <row r="30">
      <c r="B30" s="45" t="inlineStr">
        <is>
          <t>Title Click-Worthiness</t>
        </is>
      </c>
      <c r="C30" s="48" t="n">
        <v>0.2</v>
      </c>
      <c r="D30" s="36" t="n">
        <v>8</v>
      </c>
      <c r="E30" s="92">
        <f>C30*D30</f>
        <v/>
      </c>
      <c r="F30" s="45" t="n">
        <v>10</v>
      </c>
    </row>
    <row r="31">
      <c r="B31" s="45" t="inlineStr">
        <is>
          <t>Thumbnail Quality</t>
        </is>
      </c>
      <c r="C31" s="48" t="n">
        <v>0.25</v>
      </c>
      <c r="D31" s="36" t="n">
        <v>9</v>
      </c>
      <c r="E31" s="92">
        <f>C31*D31</f>
        <v/>
      </c>
      <c r="F31" s="45" t="n">
        <v>10</v>
      </c>
    </row>
    <row r="32">
      <c r="B32" s="45" t="inlineStr">
        <is>
          <t>First 30 Seconds Hook</t>
        </is>
      </c>
      <c r="C32" s="48" t="n">
        <v>0.2</v>
      </c>
      <c r="D32" s="36" t="n">
        <v>7</v>
      </c>
      <c r="E32" s="92">
        <f>C32*D32</f>
        <v/>
      </c>
      <c r="F32" s="45" t="n">
        <v>10</v>
      </c>
    </row>
    <row r="33">
      <c r="B33" s="45" t="inlineStr">
        <is>
          <t>Content Value</t>
        </is>
      </c>
      <c r="C33" s="48" t="n">
        <v>0.15</v>
      </c>
      <c r="D33" s="36" t="n">
        <v>9</v>
      </c>
      <c r="E33" s="92">
        <f>C33*D33</f>
        <v/>
      </c>
      <c r="F33" s="45" t="n">
        <v>10</v>
      </c>
    </row>
    <row r="34">
      <c r="B34" s="45" t="inlineStr">
        <is>
          <t>Trend Alignment</t>
        </is>
      </c>
      <c r="C34" s="48" t="n">
        <v>0.1</v>
      </c>
      <c r="D34" s="36" t="n">
        <v>6</v>
      </c>
      <c r="E34" s="92">
        <f>C34*D34</f>
        <v/>
      </c>
      <c r="F34" s="45" t="n">
        <v>10</v>
      </c>
    </row>
    <row r="35">
      <c r="B35" s="45" t="inlineStr">
        <is>
          <t>Posting Time</t>
        </is>
      </c>
      <c r="C35" s="48" t="n">
        <v>0.1</v>
      </c>
      <c r="D35" s="36" t="n">
        <v>8</v>
      </c>
      <c r="E35" s="92">
        <f>C35*D35</f>
        <v/>
      </c>
      <c r="F35" s="45" t="n">
        <v>10</v>
      </c>
    </row>
    <row r="36">
      <c r="B36" s="93" t="inlineStr">
        <is>
          <t>🎯 VIRAL SCORE</t>
        </is>
      </c>
      <c r="D36" s="94">
        <f>SUM(E30:E35)*10</f>
        <v/>
      </c>
    </row>
  </sheetData>
  <mergeCells count="18">
    <mergeCell ref="N15:P15"/>
    <mergeCell ref="Q16:R16"/>
    <mergeCell ref="B28:G28"/>
    <mergeCell ref="N16:P16"/>
    <mergeCell ref="Q17:R17"/>
    <mergeCell ref="N19:P19"/>
    <mergeCell ref="B19:M19"/>
    <mergeCell ref="Q15:R15"/>
    <mergeCell ref="N18:P18"/>
    <mergeCell ref="B5:L5"/>
    <mergeCell ref="B2:R2"/>
    <mergeCell ref="N17:P17"/>
    <mergeCell ref="B36:C36"/>
    <mergeCell ref="Q18:R18"/>
    <mergeCell ref="Q19:R19"/>
    <mergeCell ref="B3:R3"/>
    <mergeCell ref="N14:R14"/>
    <mergeCell ref="N5:R5"/>
  </mergeCells>
  <conditionalFormatting sqref="E7:E16">
    <cfRule type="colorScale" priority="1">
      <colorScale>
        <cfvo type="min"/>
        <cfvo type="percentile" val="50"/>
        <cfvo type="max"/>
        <color rgb="00FFEBEE"/>
        <color rgb="00EF9A9A"/>
        <color rgb="00FF0000"/>
      </colorScale>
    </cfRule>
  </conditionalFormatting>
  <conditionalFormatting sqref="L7:L16">
    <cfRule type="dataBar" priority="2">
      <dataBar showValue="1">
        <cfvo type="num" val="0"/>
        <cfvo type="num" val="100"/>
        <color rgb="00FF0000"/>
      </dataBar>
    </cfRule>
  </conditionalFormatting>
  <conditionalFormatting sqref="C21:N21">
    <cfRule type="colorScale" priority="3">
      <colorScale>
        <cfvo type="min"/>
        <cfvo type="percentile" val="50"/>
        <cfvo type="max"/>
        <color rgb="00FFFFFF"/>
        <color rgb="0090CAF9"/>
        <color rgb="001E88E5"/>
      </colorScale>
    </cfRule>
  </conditionalFormatting>
  <conditionalFormatting sqref="C22:N22">
    <cfRule type="colorScale" priority="4">
      <colorScale>
        <cfvo type="min"/>
        <cfvo type="percentile" val="50"/>
        <cfvo type="max"/>
        <color rgb="00FFFFFF"/>
        <color rgb="00CE93D8"/>
        <color rgb="008E24AA"/>
      </colorScale>
    </cfRule>
  </conditionalFormatting>
  <conditionalFormatting sqref="C23:N23">
    <cfRule type="colorScale" priority="5">
      <colorScale>
        <cfvo type="min"/>
        <cfvo type="percentile" val="50"/>
        <cfvo type="max"/>
        <color rgb="00FFFFFF"/>
        <color rgb="00A5D6A7"/>
        <color rgb="0043A047"/>
      </colorScale>
    </cfRule>
  </conditionalFormatting>
  <conditionalFormatting sqref="C24:N24">
    <cfRule type="colorScale" priority="6">
      <colorScale>
        <cfvo type="min"/>
        <cfvo type="percentile" val="50"/>
        <cfvo type="max"/>
        <color rgb="00FFFFFF"/>
        <color rgb="00FFCC80"/>
        <color rgb="00FB8C00"/>
      </colorScale>
    </cfRule>
  </conditionalFormatting>
  <conditionalFormatting sqref="C25:N25">
    <cfRule type="colorScale" priority="7">
      <colorScale>
        <cfvo type="min"/>
        <cfvo type="percentile" val="50"/>
        <cfvo type="max"/>
        <color rgb="00FFFFFF"/>
        <color rgb="00F48FB1"/>
        <color rgb="00D81B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3D"/>
    <outlinePr summaryBelow="1" summaryRight="1"/>
    <pageSetUpPr/>
  </sheetPr>
  <dimension ref="B2:R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2" ht="35" customHeight="1">
      <c r="B2" s="95" t="inlineStr">
        <is>
          <t>💰 REVENUE EMPIRE DASHBOARD</t>
        </is>
      </c>
    </row>
    <row r="3" ht="20" customHeight="1">
      <c r="B3" s="96" t="inlineStr">
        <is>
          <t>Monetize • Diversify • Scale</t>
        </is>
      </c>
    </row>
    <row r="5">
      <c r="B5" s="97" t="inlineStr">
        <is>
          <t>💎 REVENUE SOURCES</t>
        </is>
      </c>
      <c r="K5" s="3" t="inlineStr">
        <is>
          <t>🤝 BRAND DEAL PIPELINE</t>
        </is>
      </c>
    </row>
    <row r="6">
      <c r="B6" s="98" t="inlineStr">
        <is>
          <t>Source</t>
        </is>
      </c>
      <c r="C6" s="98" t="inlineStr">
        <is>
          <t>Jan</t>
        </is>
      </c>
      <c r="D6" s="98" t="inlineStr">
        <is>
          <t>Feb</t>
        </is>
      </c>
      <c r="E6" s="98" t="inlineStr">
        <is>
          <t>Mar</t>
        </is>
      </c>
      <c r="F6" s="98" t="inlineStr">
        <is>
          <t>Q1 Total</t>
        </is>
      </c>
      <c r="G6" s="98" t="inlineStr">
        <is>
          <t>% of Rev</t>
        </is>
      </c>
      <c r="H6" s="98" t="inlineStr">
        <is>
          <t>Growth</t>
        </is>
      </c>
      <c r="I6" s="98" t="inlineStr">
        <is>
          <t>Status</t>
        </is>
      </c>
      <c r="K6" s="66" t="inlineStr">
        <is>
          <t>Brand</t>
        </is>
      </c>
      <c r="L6" s="66" t="inlineStr">
        <is>
          <t>Type</t>
        </is>
      </c>
      <c r="M6" s="66" t="inlineStr">
        <is>
          <t>Platform</t>
        </is>
      </c>
      <c r="N6" s="66" t="inlineStr">
        <is>
          <t>Value</t>
        </is>
      </c>
      <c r="O6" s="66" t="inlineStr">
        <is>
          <t>Status</t>
        </is>
      </c>
      <c r="P6" s="66" t="inlineStr">
        <is>
          <t>Due Date</t>
        </is>
      </c>
      <c r="Q6" s="66" t="inlineStr">
        <is>
          <t>Deliverables</t>
        </is>
      </c>
      <c r="R6" s="66" t="inlineStr">
        <is>
          <t>ROI Est</t>
        </is>
      </c>
    </row>
    <row r="7">
      <c r="B7" s="99" t="inlineStr">
        <is>
          <t>🎬 YouTube AdSense</t>
        </is>
      </c>
      <c r="C7" s="60" t="n">
        <v>4200</v>
      </c>
      <c r="D7" s="60" t="n">
        <v>4800</v>
      </c>
      <c r="E7" s="60" t="n">
        <v>5100</v>
      </c>
      <c r="F7" s="61">
        <f>SUM(C7:E7)</f>
        <v/>
      </c>
      <c r="G7" s="58">
        <f>F7/F15</f>
        <v/>
      </c>
      <c r="H7" s="100" t="n">
        <v>0.08</v>
      </c>
      <c r="I7" s="45" t="inlineStr">
        <is>
          <t>🚀</t>
        </is>
      </c>
      <c r="K7" s="45" t="inlineStr">
        <is>
          <t>TechCorp Pro</t>
        </is>
      </c>
      <c r="L7" s="45" t="inlineStr">
        <is>
          <t>Sponsored Video</t>
        </is>
      </c>
      <c r="M7" s="45" t="inlineStr">
        <is>
          <t>YouTube</t>
        </is>
      </c>
      <c r="N7" s="61" t="n">
        <v>5000</v>
      </c>
      <c r="O7" s="101" t="inlineStr">
        <is>
          <t>✅ Completed</t>
        </is>
      </c>
      <c r="P7" s="45" t="inlineStr">
        <is>
          <t>2024-01-15</t>
        </is>
      </c>
      <c r="Q7" s="45" t="inlineStr">
        <is>
          <t>1 Video + 3 IG</t>
        </is>
      </c>
      <c r="R7" s="102" t="n">
        <v>2.5</v>
      </c>
    </row>
    <row r="8">
      <c r="B8" s="103" t="inlineStr">
        <is>
          <t>💼 Brand Deals</t>
        </is>
      </c>
      <c r="C8" s="60" t="n">
        <v>3500</v>
      </c>
      <c r="D8" s="60" t="n">
        <v>4200</v>
      </c>
      <c r="E8" s="60" t="n">
        <v>5500</v>
      </c>
      <c r="F8" s="61">
        <f>SUM(C8:E8)</f>
        <v/>
      </c>
      <c r="G8" s="58">
        <f>F8/F15</f>
        <v/>
      </c>
      <c r="H8" s="100" t="n">
        <v>0.15</v>
      </c>
      <c r="I8" s="45" t="inlineStr">
        <is>
          <t>🔥</t>
        </is>
      </c>
      <c r="K8" s="45" t="inlineStr">
        <is>
          <t>FitLife App</t>
        </is>
      </c>
      <c r="L8" s="45" t="inlineStr">
        <is>
          <t>Integration</t>
        </is>
      </c>
      <c r="M8" s="45" t="inlineStr">
        <is>
          <t>YouTube</t>
        </is>
      </c>
      <c r="N8" s="61" t="n">
        <v>3500</v>
      </c>
      <c r="O8" s="104" t="inlineStr">
        <is>
          <t>🎬 In Progress</t>
        </is>
      </c>
      <c r="P8" s="45" t="inlineStr">
        <is>
          <t>2024-01-25</t>
        </is>
      </c>
      <c r="Q8" s="45" t="inlineStr">
        <is>
          <t>2 Videos</t>
        </is>
      </c>
      <c r="R8" s="102" t="n">
        <v>2</v>
      </c>
    </row>
    <row r="9">
      <c r="B9" s="105" t="inlineStr">
        <is>
          <t>🛒 Affiliate Marketing</t>
        </is>
      </c>
      <c r="C9" s="60" t="n">
        <v>1800</v>
      </c>
      <c r="D9" s="60" t="n">
        <v>2100</v>
      </c>
      <c r="E9" s="60" t="n">
        <v>2400</v>
      </c>
      <c r="F9" s="61">
        <f>SUM(C9:E9)</f>
        <v/>
      </c>
      <c r="G9" s="58">
        <f>F9/F15</f>
        <v/>
      </c>
      <c r="H9" s="100" t="n">
        <v>0.1</v>
      </c>
      <c r="I9" s="45" t="inlineStr">
        <is>
          <t>📈</t>
        </is>
      </c>
      <c r="K9" s="45" t="inlineStr">
        <is>
          <t>AudioMax</t>
        </is>
      </c>
      <c r="L9" s="45" t="inlineStr">
        <is>
          <t>Product Review</t>
        </is>
      </c>
      <c r="M9" s="45" t="inlineStr">
        <is>
          <t>Multi</t>
        </is>
      </c>
      <c r="N9" s="61" t="n">
        <v>4200</v>
      </c>
      <c r="O9" s="106" t="inlineStr">
        <is>
          <t>📝 Negotiating</t>
        </is>
      </c>
      <c r="P9" s="45" t="inlineStr">
        <is>
          <t>2024-02-01</t>
        </is>
      </c>
      <c r="Q9" s="45" t="inlineStr">
        <is>
          <t>YT + TikTok</t>
        </is>
      </c>
      <c r="R9" s="102" t="n">
        <v>1.8</v>
      </c>
    </row>
    <row r="10">
      <c r="B10" s="107" t="inlineStr">
        <is>
          <t>👕 Merchandise</t>
        </is>
      </c>
      <c r="C10" s="60" t="n">
        <v>2200</v>
      </c>
      <c r="D10" s="60" t="n">
        <v>2500</v>
      </c>
      <c r="E10" s="60" t="n">
        <v>2800</v>
      </c>
      <c r="F10" s="61">
        <f>SUM(C10:E10)</f>
        <v/>
      </c>
      <c r="G10" s="58">
        <f>F10/F15</f>
        <v/>
      </c>
      <c r="H10" s="100" t="n">
        <v>0.09</v>
      </c>
      <c r="I10" s="45" t="inlineStr">
        <is>
          <t>📈</t>
        </is>
      </c>
      <c r="K10" s="45" t="inlineStr">
        <is>
          <t>CloudSync</t>
        </is>
      </c>
      <c r="L10" s="45" t="inlineStr">
        <is>
          <t>Series Sponsor</t>
        </is>
      </c>
      <c r="M10" s="45" t="inlineStr">
        <is>
          <t>YouTube</t>
        </is>
      </c>
      <c r="N10" s="61" t="n">
        <v>12000</v>
      </c>
      <c r="O10" s="106" t="inlineStr">
        <is>
          <t>📝 Negotiating</t>
        </is>
      </c>
      <c r="P10" s="45" t="inlineStr">
        <is>
          <t>2024-02-15</t>
        </is>
      </c>
      <c r="Q10" s="45" t="inlineStr">
        <is>
          <t>4 Videos</t>
        </is>
      </c>
      <c r="R10" s="102" t="n">
        <v>3</v>
      </c>
    </row>
    <row r="11">
      <c r="B11" s="108" t="inlineStr">
        <is>
          <t>📚 Digital Products</t>
        </is>
      </c>
      <c r="C11" s="60" t="n">
        <v>1500</v>
      </c>
      <c r="D11" s="60" t="n">
        <v>1800</v>
      </c>
      <c r="E11" s="60" t="n">
        <v>2200</v>
      </c>
      <c r="F11" s="61">
        <f>SUM(C11:E11)</f>
        <v/>
      </c>
      <c r="G11" s="58">
        <f>F11/F15</f>
        <v/>
      </c>
      <c r="H11" s="100" t="n">
        <v>0.12</v>
      </c>
      <c r="I11" s="45" t="inlineStr">
        <is>
          <t>🚀</t>
        </is>
      </c>
      <c r="K11" s="45" t="inlineStr">
        <is>
          <t>StyleHub</t>
        </is>
      </c>
      <c r="L11" s="45" t="inlineStr">
        <is>
          <t>Affiliate Deal</t>
        </is>
      </c>
      <c r="M11" s="45" t="inlineStr">
        <is>
          <t>Instagram</t>
        </is>
      </c>
      <c r="N11" s="61" t="n">
        <v>2500</v>
      </c>
      <c r="O11" s="109" t="inlineStr">
        <is>
          <t>⏳ Pending</t>
        </is>
      </c>
      <c r="P11" s="45" t="inlineStr">
        <is>
          <t>2024-02-20</t>
        </is>
      </c>
      <c r="Q11" s="45" t="inlineStr">
        <is>
          <t>5 Posts</t>
        </is>
      </c>
      <c r="R11" s="102" t="n">
        <v>4</v>
      </c>
    </row>
    <row r="12">
      <c r="B12" s="110" t="inlineStr">
        <is>
          <t>🎓 Courses/Coaching</t>
        </is>
      </c>
      <c r="C12" s="60" t="n">
        <v>3000</v>
      </c>
      <c r="D12" s="60" t="n">
        <v>3500</v>
      </c>
      <c r="E12" s="60" t="n">
        <v>4000</v>
      </c>
      <c r="F12" s="61">
        <f>SUM(C12:E12)</f>
        <v/>
      </c>
      <c r="G12" s="58">
        <f>F12/F15</f>
        <v/>
      </c>
      <c r="H12" s="100" t="n">
        <v>0.11</v>
      </c>
      <c r="I12" s="45" t="inlineStr">
        <is>
          <t>📈</t>
        </is>
      </c>
      <c r="K12" s="45" t="inlineStr">
        <is>
          <t>LearnNow</t>
        </is>
      </c>
      <c r="L12" s="45" t="inlineStr">
        <is>
          <t>Course Collab</t>
        </is>
      </c>
      <c r="M12" s="45" t="inlineStr">
        <is>
          <t>Website</t>
        </is>
      </c>
      <c r="N12" s="61" t="n">
        <v>8000</v>
      </c>
      <c r="O12" s="111" t="inlineStr">
        <is>
          <t>🎯 Pitched</t>
        </is>
      </c>
      <c r="P12" s="45" t="inlineStr">
        <is>
          <t>2024-03-01</t>
        </is>
      </c>
      <c r="Q12" s="45" t="inlineStr">
        <is>
          <t>Joint Course</t>
        </is>
      </c>
      <c r="R12" s="102" t="n">
        <v>2.2</v>
      </c>
    </row>
    <row r="13">
      <c r="B13" s="112" t="inlineStr">
        <is>
          <t>💜 Twitch/Donations</t>
        </is>
      </c>
      <c r="C13" s="60" t="n">
        <v>800</v>
      </c>
      <c r="D13" s="60" t="n">
        <v>950</v>
      </c>
      <c r="E13" s="60" t="n">
        <v>1100</v>
      </c>
      <c r="F13" s="61">
        <f>SUM(C13:E13)</f>
        <v/>
      </c>
      <c r="G13" s="58">
        <f>F13/F15</f>
        <v/>
      </c>
      <c r="H13" s="100" t="n">
        <v>0.08</v>
      </c>
      <c r="I13" s="45" t="inlineStr">
        <is>
          <t>➡️</t>
        </is>
      </c>
    </row>
    <row r="14">
      <c r="B14" s="113" t="inlineStr">
        <is>
          <t>🎙️ Podcast Sponsors</t>
        </is>
      </c>
      <c r="C14" s="60" t="n">
        <v>1200</v>
      </c>
      <c r="D14" s="60" t="n">
        <v>1400</v>
      </c>
      <c r="E14" s="60" t="n">
        <v>1600</v>
      </c>
      <c r="F14" s="61">
        <f>SUM(C14:E14)</f>
        <v/>
      </c>
      <c r="G14" s="58">
        <f>F14/F15</f>
        <v/>
      </c>
      <c r="H14" s="100" t="n">
        <v>0.1</v>
      </c>
      <c r="I14" s="45" t="inlineStr">
        <is>
          <t>📈</t>
        </is>
      </c>
      <c r="K14" s="114" t="inlineStr">
        <is>
          <t>📊 Pipeline Summary</t>
        </is>
      </c>
    </row>
    <row r="15">
      <c r="B15" s="114" t="inlineStr">
        <is>
          <t>💰 TOTAL REVENUE</t>
        </is>
      </c>
      <c r="C15" s="115">
        <f>SUM(C7:C14)</f>
        <v/>
      </c>
      <c r="D15" s="115">
        <f>SUM(D7:D14)</f>
        <v/>
      </c>
      <c r="E15" s="115">
        <f>SUM(E7:E14)</f>
        <v/>
      </c>
      <c r="F15" s="115">
        <f>SUM(F7:F14)</f>
        <v/>
      </c>
      <c r="K15" s="116" t="inlineStr">
        <is>
          <t>Total Pipeline Value</t>
        </is>
      </c>
      <c r="M15" s="117">
        <f>SUM(N7:N12)</f>
        <v/>
      </c>
    </row>
    <row r="16">
      <c r="K16" s="116" t="inlineStr">
        <is>
          <t>Avg Deal Size</t>
        </is>
      </c>
      <c r="M16" s="117">
        <f>AVERAGE(N7:N12)</f>
        <v/>
      </c>
    </row>
    <row r="17">
      <c r="K17" s="116" t="inlineStr">
        <is>
          <t>Deals Completed</t>
        </is>
      </c>
      <c r="M17" s="118">
        <f>COUNTIF(O7:O12,"*Completed*")</f>
        <v/>
      </c>
    </row>
    <row r="18">
      <c r="B18" s="4" t="inlineStr">
        <is>
          <t>📈 12-MONTH REVENUE TREND</t>
        </is>
      </c>
    </row>
    <row r="19">
      <c r="B19" s="85" t="inlineStr">
        <is>
          <t>Source</t>
        </is>
      </c>
      <c r="C19" s="85" t="inlineStr">
        <is>
          <t>Jan</t>
        </is>
      </c>
      <c r="D19" s="85" t="inlineStr">
        <is>
          <t>Feb</t>
        </is>
      </c>
      <c r="E19" s="85" t="inlineStr">
        <is>
          <t>Mar</t>
        </is>
      </c>
      <c r="F19" s="85" t="inlineStr">
        <is>
          <t>Apr</t>
        </is>
      </c>
      <c r="G19" s="85" t="inlineStr">
        <is>
          <t>May</t>
        </is>
      </c>
      <c r="H19" s="85" t="inlineStr">
        <is>
          <t>Jun</t>
        </is>
      </c>
      <c r="I19" s="85" t="inlineStr">
        <is>
          <t>Jul</t>
        </is>
      </c>
      <c r="J19" s="85" t="inlineStr">
        <is>
          <t>Aug</t>
        </is>
      </c>
      <c r="K19" s="85" t="inlineStr">
        <is>
          <t>Sep</t>
        </is>
      </c>
      <c r="L19" s="85" t="inlineStr">
        <is>
          <t>Oct</t>
        </is>
      </c>
      <c r="M19" s="85" t="inlineStr">
        <is>
          <t>Nov</t>
        </is>
      </c>
      <c r="N19" s="85" t="inlineStr">
        <is>
          <t>Dec</t>
        </is>
      </c>
      <c r="O19" s="85" t="inlineStr">
        <is>
          <t>TOTAL</t>
        </is>
      </c>
    </row>
    <row r="20">
      <c r="B20" s="99" t="inlineStr">
        <is>
          <t>AdSense</t>
        </is>
      </c>
      <c r="C20" s="119" t="n">
        <v>3800</v>
      </c>
      <c r="D20" s="119" t="n">
        <v>4100</v>
      </c>
      <c r="E20" s="119" t="n">
        <v>4200</v>
      </c>
      <c r="F20" s="119" t="n">
        <v>4500</v>
      </c>
      <c r="G20" s="119" t="n">
        <v>4800</v>
      </c>
      <c r="H20" s="119" t="n">
        <v>5100</v>
      </c>
      <c r="I20" s="119" t="n">
        <v>4800</v>
      </c>
      <c r="J20" s="119" t="n">
        <v>5200</v>
      </c>
      <c r="K20" s="120" t="inlineStr">
        <is>
          <t>🌙 PASSIVE INCOME STREAMS</t>
        </is>
      </c>
      <c r="L20" s="78" t="n"/>
      <c r="M20" s="78" t="n"/>
      <c r="N20" s="78" t="n"/>
      <c r="O20" s="78" t="n"/>
      <c r="P20" s="78" t="n"/>
      <c r="Q20" s="78" t="n"/>
      <c r="R20" s="79" t="n"/>
    </row>
    <row r="21">
      <c r="B21" s="103" t="inlineStr">
        <is>
          <t>Sponsors</t>
        </is>
      </c>
      <c r="C21" s="119" t="n">
        <v>2500</v>
      </c>
      <c r="D21" s="119" t="n">
        <v>3000</v>
      </c>
      <c r="E21" s="119" t="n">
        <v>3500</v>
      </c>
      <c r="F21" s="119" t="n">
        <v>4000</v>
      </c>
      <c r="G21" s="119" t="n">
        <v>4200</v>
      </c>
      <c r="H21" s="119" t="n">
        <v>4500</v>
      </c>
      <c r="I21" s="119" t="n">
        <v>5000</v>
      </c>
      <c r="J21" s="119" t="n">
        <v>4800</v>
      </c>
      <c r="K21" s="121" t="inlineStr">
        <is>
          <t>Stream</t>
        </is>
      </c>
      <c r="L21" s="121" t="inlineStr">
        <is>
          <t>Type</t>
        </is>
      </c>
      <c r="M21" s="121" t="inlineStr">
        <is>
          <t>Monthly $</t>
        </is>
      </c>
      <c r="N21" s="121" t="inlineStr">
        <is>
          <t>Effort Level</t>
        </is>
      </c>
      <c r="O21" s="121" t="inlineStr">
        <is>
          <t>Scalability</t>
        </is>
      </c>
      <c r="P21" s="29" t="inlineStr">
        <is>
          <t>Maturity</t>
        </is>
      </c>
      <c r="Q21" s="29" t="inlineStr">
        <is>
          <t>Annual Est</t>
        </is>
      </c>
    </row>
    <row r="22">
      <c r="B22" s="105" t="inlineStr">
        <is>
          <t>Affiliate</t>
        </is>
      </c>
      <c r="C22" s="119" t="n">
        <v>1200</v>
      </c>
      <c r="D22" s="119" t="n">
        <v>1400</v>
      </c>
      <c r="E22" s="119" t="n">
        <v>1800</v>
      </c>
      <c r="F22" s="119" t="n">
        <v>2000</v>
      </c>
      <c r="G22" s="119" t="n">
        <v>2100</v>
      </c>
      <c r="H22" s="119" t="n">
        <v>2200</v>
      </c>
      <c r="I22" s="119" t="n">
        <v>2400</v>
      </c>
      <c r="J22" s="119" t="n">
        <v>2500</v>
      </c>
      <c r="K22" s="119" t="inlineStr">
        <is>
          <t>YouTube Old Videos</t>
        </is>
      </c>
      <c r="L22" s="119" t="inlineStr">
        <is>
          <t>Ad Revenue</t>
        </is>
      </c>
      <c r="M22" s="122" t="n">
        <v>2200</v>
      </c>
      <c r="N22" s="119" t="inlineStr">
        <is>
          <t>🟢 Low</t>
        </is>
      </c>
      <c r="O22" s="61" t="inlineStr">
        <is>
          <t>⭐⭐⭐</t>
        </is>
      </c>
      <c r="P22" s="45" t="inlineStr">
        <is>
          <t>Mature</t>
        </is>
      </c>
      <c r="Q22" s="60">
        <f>M22*12</f>
        <v/>
      </c>
    </row>
    <row r="23">
      <c r="B23" s="107" t="inlineStr">
        <is>
          <t>Products</t>
        </is>
      </c>
      <c r="C23" s="119" t="n">
        <v>800</v>
      </c>
      <c r="D23" s="119" t="n">
        <v>1000</v>
      </c>
      <c r="E23" s="119" t="n">
        <v>1500</v>
      </c>
      <c r="F23" s="119" t="n">
        <v>1800</v>
      </c>
      <c r="G23" s="119" t="n">
        <v>2000</v>
      </c>
      <c r="H23" s="119" t="n">
        <v>2200</v>
      </c>
      <c r="I23" s="119" t="n">
        <v>2400</v>
      </c>
      <c r="J23" s="119" t="n">
        <v>2500</v>
      </c>
      <c r="K23" s="119" t="inlineStr">
        <is>
          <t>Affiliate Links</t>
        </is>
      </c>
      <c r="L23" s="119" t="inlineStr">
        <is>
          <t>Commission</t>
        </is>
      </c>
      <c r="M23" s="122" t="n">
        <v>1800</v>
      </c>
      <c r="N23" s="119" t="inlineStr">
        <is>
          <t>🟢 Low</t>
        </is>
      </c>
      <c r="O23" s="61" t="inlineStr">
        <is>
          <t>⭐⭐⭐⭐</t>
        </is>
      </c>
      <c r="P23" s="45" t="inlineStr">
        <is>
          <t>Growing</t>
        </is>
      </c>
      <c r="Q23" s="60">
        <f>M23*12</f>
        <v/>
      </c>
    </row>
    <row r="24">
      <c r="B24" s="123" t="inlineStr">
        <is>
          <t>MONTHLY TOTAL</t>
        </is>
      </c>
      <c r="C24" s="124">
        <f>SUM(C20:C23)</f>
        <v/>
      </c>
      <c r="D24" s="124">
        <f>SUM(D20:D23)</f>
        <v/>
      </c>
      <c r="E24" s="124">
        <f>SUM(E20:E23)</f>
        <v/>
      </c>
      <c r="F24" s="124">
        <f>SUM(F20:F23)</f>
        <v/>
      </c>
      <c r="G24" s="124">
        <f>SUM(G20:G23)</f>
        <v/>
      </c>
      <c r="H24" s="124">
        <f>SUM(H20:H23)</f>
        <v/>
      </c>
      <c r="I24" s="124">
        <f>SUM(I20:I23)</f>
        <v/>
      </c>
      <c r="J24" s="124">
        <f>SUM(J20:J23)</f>
        <v/>
      </c>
      <c r="K24" s="124" t="inlineStr">
        <is>
          <t>Digital Templates</t>
        </is>
      </c>
      <c r="L24" s="124" t="inlineStr">
        <is>
          <t>Products</t>
        </is>
      </c>
      <c r="M24" s="124" t="n">
        <v>1500</v>
      </c>
      <c r="N24" s="124" t="inlineStr">
        <is>
          <t>🟢 Low</t>
        </is>
      </c>
      <c r="O24" s="124" t="inlineStr">
        <is>
          <t>⭐⭐⭐⭐⭐</t>
        </is>
      </c>
      <c r="P24" s="45" t="inlineStr">
        <is>
          <t>Growing</t>
        </is>
      </c>
      <c r="Q24" s="60">
        <f>M24*12</f>
        <v/>
      </c>
    </row>
    <row r="25">
      <c r="K25" s="45" t="inlineStr">
        <is>
          <t>Online Course</t>
        </is>
      </c>
      <c r="L25" s="45" t="inlineStr">
        <is>
          <t>Education</t>
        </is>
      </c>
      <c r="M25" s="61" t="n">
        <v>3200</v>
      </c>
      <c r="N25" s="45" t="inlineStr">
        <is>
          <t>🟡 Med</t>
        </is>
      </c>
      <c r="O25" s="45" t="inlineStr">
        <is>
          <t>⭐⭐⭐⭐⭐</t>
        </is>
      </c>
      <c r="P25" s="45" t="inlineStr">
        <is>
          <t>Mature</t>
        </is>
      </c>
      <c r="Q25" s="60">
        <f>M25*12</f>
        <v/>
      </c>
    </row>
    <row r="26">
      <c r="K26" s="45" t="inlineStr">
        <is>
          <t>Print on Demand</t>
        </is>
      </c>
      <c r="L26" s="45" t="inlineStr">
        <is>
          <t>Merch</t>
        </is>
      </c>
      <c r="M26" s="61" t="n">
        <v>800</v>
      </c>
      <c r="N26" s="45" t="inlineStr">
        <is>
          <t>🟢 Low</t>
        </is>
      </c>
      <c r="O26" s="45" t="inlineStr">
        <is>
          <t>⭐⭐⭐</t>
        </is>
      </c>
      <c r="P26" s="45" t="inlineStr">
        <is>
          <t>New</t>
        </is>
      </c>
      <c r="Q26" s="60">
        <f>M26*12</f>
        <v/>
      </c>
    </row>
    <row r="27">
      <c r="B27" s="42" t="inlineStr">
        <is>
          <t>🎯 2025 FINANCIAL GOALS</t>
        </is>
      </c>
      <c r="K27" s="45" t="inlineStr">
        <is>
          <t>Stock Media</t>
        </is>
      </c>
      <c r="L27" s="45" t="inlineStr">
        <is>
          <t>Licensing</t>
        </is>
      </c>
      <c r="M27" s="61" t="n">
        <v>400</v>
      </c>
      <c r="N27" s="45" t="inlineStr">
        <is>
          <t>🟢 Low</t>
        </is>
      </c>
      <c r="O27" s="45" t="inlineStr">
        <is>
          <t>⭐⭐</t>
        </is>
      </c>
      <c r="P27" s="45" t="inlineStr">
        <is>
          <t>New</t>
        </is>
      </c>
      <c r="Q27" s="60">
        <f>M27*12</f>
        <v/>
      </c>
    </row>
    <row r="28">
      <c r="B28" s="44" t="inlineStr">
        <is>
          <t>Goal</t>
        </is>
      </c>
      <c r="C28" s="44" t="inlineStr">
        <is>
          <t>Target</t>
        </is>
      </c>
      <c r="D28" s="44" t="inlineStr">
        <is>
          <t>Current</t>
        </is>
      </c>
      <c r="E28" s="44" t="inlineStr">
        <is>
          <t>Progress</t>
        </is>
      </c>
      <c r="F28" s="44" t="inlineStr">
        <is>
          <t>Remaining</t>
        </is>
      </c>
      <c r="G28" s="44" t="inlineStr">
        <is>
          <t>Status</t>
        </is>
      </c>
      <c r="H28" s="44" t="inlineStr">
        <is>
          <t>Deadline</t>
        </is>
      </c>
      <c r="I28" s="44" t="inlineStr">
        <is>
          <t>On Track</t>
        </is>
      </c>
      <c r="K28" s="125" t="inlineStr">
        <is>
          <t>💰 Total Passive Monthly</t>
        </is>
      </c>
      <c r="M28" s="126">
        <f>SUM(M22:M27)</f>
        <v/>
      </c>
    </row>
    <row r="29">
      <c r="B29" s="45" t="inlineStr">
        <is>
          <t>Annual Revenue</t>
        </is>
      </c>
      <c r="C29" s="60" t="n">
        <v>150000</v>
      </c>
      <c r="D29" s="61" t="n">
        <v>45200</v>
      </c>
      <c r="E29" s="48">
        <f>D29/C29</f>
        <v/>
      </c>
      <c r="F29" s="60">
        <f>C29-D29</f>
        <v/>
      </c>
      <c r="G29" s="45">
        <f>IF(E29&gt;=0.9,"GREAT",IF(E29&gt;=0.7,"GOOD",IF(E29&gt;=0.5,"WARN","LOW")))</f>
        <v/>
      </c>
      <c r="H29" s="45" t="inlineStr">
        <is>
          <t>Mar 31</t>
        </is>
      </c>
      <c r="I29" s="45">
        <f>IF(E29&gt;=0.25,"Yes","Behind")</f>
        <v/>
      </c>
      <c r="K29" s="125" t="inlineStr">
        <is>
          <t>📅 Total Passive Annual</t>
        </is>
      </c>
      <c r="M29" s="126">
        <f>SUM(Q22:Q27)</f>
        <v/>
      </c>
    </row>
    <row r="30">
      <c r="B30" s="45" t="inlineStr">
        <is>
          <t>YouTube Subs</t>
        </is>
      </c>
      <c r="C30" s="46" t="n">
        <v>200000</v>
      </c>
      <c r="D30" s="47" t="n">
        <v>125000</v>
      </c>
      <c r="E30" s="48">
        <f>D30/C30</f>
        <v/>
      </c>
      <c r="F30" s="46">
        <f>C30-D30</f>
        <v/>
      </c>
      <c r="G30" s="45">
        <f>IF(E30&gt;=0.9,"GREAT",IF(E30&gt;=0.7,"GOOD",IF(E30&gt;=0.5,"WARN","LOW")))</f>
        <v/>
      </c>
      <c r="H30" s="45" t="inlineStr">
        <is>
          <t>Dec 31</t>
        </is>
      </c>
      <c r="I30" s="45">
        <f>IF(E30&gt;=0.25,"Yes","Behind")</f>
        <v/>
      </c>
    </row>
    <row r="31">
      <c r="B31" s="45" t="inlineStr">
        <is>
          <t>Brand Deals</t>
        </is>
      </c>
      <c r="C31" s="60" t="n">
        <v>75000</v>
      </c>
      <c r="D31" s="61" t="n">
        <v>18200</v>
      </c>
      <c r="E31" s="48">
        <f>D31/C31</f>
        <v/>
      </c>
      <c r="F31" s="60">
        <f>C31-D31</f>
        <v/>
      </c>
      <c r="G31" s="45">
        <f>IF(E31&gt;=0.9,"GREAT",IF(E31&gt;=0.7,"GOOD",IF(E31&gt;=0.5,"WARN","LOW")))</f>
        <v/>
      </c>
      <c r="H31" s="45" t="inlineStr">
        <is>
          <t>Dec 31</t>
        </is>
      </c>
      <c r="I31" s="45">
        <f>IF(E31&gt;=0.25,"Yes","Behind")</f>
        <v/>
      </c>
    </row>
    <row r="32">
      <c r="B32" s="45" t="inlineStr">
        <is>
          <t>Course Sales</t>
        </is>
      </c>
      <c r="C32" s="60" t="n">
        <v>50000</v>
      </c>
      <c r="D32" s="61" t="n">
        <v>12500</v>
      </c>
      <c r="E32" s="48">
        <f>D32/C32</f>
        <v/>
      </c>
      <c r="F32" s="60">
        <f>C32-D32</f>
        <v/>
      </c>
      <c r="G32" s="45">
        <f>IF(E32&gt;=0.9,"GREAT",IF(E32&gt;=0.7,"GOOD",IF(E32&gt;=0.5,"WARN","LOW")))</f>
        <v/>
      </c>
      <c r="H32" s="45" t="inlineStr">
        <is>
          <t>Dec 31</t>
        </is>
      </c>
      <c r="I32" s="45">
        <f>IF(E32&gt;=0.25,"Yes","Behind")</f>
        <v/>
      </c>
    </row>
    <row r="33">
      <c r="B33" s="45" t="inlineStr">
        <is>
          <t>Email List</t>
        </is>
      </c>
      <c r="C33" s="46" t="n">
        <v>25000</v>
      </c>
      <c r="D33" s="47" t="n">
        <v>8500</v>
      </c>
      <c r="E33" s="48">
        <f>D33/C33</f>
        <v/>
      </c>
      <c r="F33" s="46">
        <f>C33-D33</f>
        <v/>
      </c>
      <c r="G33" s="45">
        <f>IF(E33&gt;=0.9,"GREAT",IF(E33&gt;=0.7,"GOOD",IF(E33&gt;=0.5,"WARN","LOW")))</f>
        <v/>
      </c>
      <c r="H33" s="45" t="inlineStr">
        <is>
          <t>Dec 31</t>
        </is>
      </c>
      <c r="I33" s="45">
        <f>IF(E33&gt;=0.25,"Yes","Behind")</f>
        <v/>
      </c>
    </row>
  </sheetData>
  <mergeCells count="18">
    <mergeCell ref="K16:L16"/>
    <mergeCell ref="M17:N17"/>
    <mergeCell ref="K29:L29"/>
    <mergeCell ref="M15:N15"/>
    <mergeCell ref="K20:R20"/>
    <mergeCell ref="K15:L15"/>
    <mergeCell ref="B18:N18"/>
    <mergeCell ref="K28:L28"/>
    <mergeCell ref="B2:R2"/>
    <mergeCell ref="B5:I5"/>
    <mergeCell ref="K5:R5"/>
    <mergeCell ref="M18:N18"/>
    <mergeCell ref="B3:R3"/>
    <mergeCell ref="B27:I27"/>
    <mergeCell ref="K14:L14"/>
    <mergeCell ref="K18:L18"/>
    <mergeCell ref="K17:L17"/>
    <mergeCell ref="M16:N16"/>
  </mergeCells>
  <conditionalFormatting sqref="F7:F14">
    <cfRule type="dataBar" priority="1">
      <dataBar showValue="1">
        <cfvo type="num" val="0"/>
        <cfvo type="max"/>
        <color rgb="00FFD93D"/>
      </dataBar>
    </cfRule>
  </conditionalFormatting>
  <conditionalFormatting sqref="C20:N20">
    <cfRule type="colorScale" priority="2">
      <colorScale>
        <cfvo type="min"/>
        <cfvo type="max"/>
        <color rgb="00FFFFFF"/>
        <color rgb="00FF0000"/>
      </colorScale>
    </cfRule>
  </conditionalFormatting>
  <conditionalFormatting sqref="C21:N21">
    <cfRule type="colorScale" priority="3">
      <colorScale>
        <cfvo type="min"/>
        <cfvo type="max"/>
        <color rgb="00FFFFFF"/>
        <color rgb="00FFD93D"/>
      </colorScale>
    </cfRule>
  </conditionalFormatting>
  <conditionalFormatting sqref="C22:N22">
    <cfRule type="colorScale" priority="4">
      <colorScale>
        <cfvo type="min"/>
        <cfvo type="max"/>
        <color rgb="00FFFFFF"/>
        <color rgb="0000E676"/>
      </colorScale>
    </cfRule>
  </conditionalFormatting>
  <conditionalFormatting sqref="C23:N23">
    <cfRule type="colorScale" priority="5">
      <colorScale>
        <cfvo type="min"/>
        <cfvo type="max"/>
        <color rgb="00FFFFFF"/>
        <color rgb="009B59B6"/>
      </colorScale>
    </cfRule>
  </conditionalFormatting>
  <conditionalFormatting sqref="E29:E33">
    <cfRule type="dataBar" priority="6">
      <dataBar showValue="1">
        <cfvo type="num" val="0"/>
        <cfvo type="num" val="1"/>
        <color rgb="0000E67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CD4"/>
    <outlinePr summaryBelow="1" summaryRight="1"/>
    <pageSetUpPr/>
  </sheetPr>
  <dimension ref="B2:R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2" ht="35" customHeight="1">
      <c r="B2" s="127" t="inlineStr">
        <is>
          <t>👥 AUDIENCE INTELLIGENCE HUB</t>
        </is>
      </c>
    </row>
    <row r="3" ht="20" customHeight="1">
      <c r="B3" s="128" t="inlineStr">
        <is>
          <t>Know Your People • Grow Your Tribe</t>
        </is>
      </c>
    </row>
    <row r="5">
      <c r="B5" s="4" t="inlineStr">
        <is>
          <t>🎯 DEMOGRAPHIC BREAKDOWN</t>
        </is>
      </c>
      <c r="J5" s="42" t="inlineStr">
        <is>
          <t>🌍 GEOGRAPHIC DISTRIBUTION</t>
        </is>
      </c>
    </row>
    <row r="6">
      <c r="B6" s="114" t="inlineStr">
        <is>
          <t>📊 Age Distribution</t>
        </is>
      </c>
      <c r="F6" s="114" t="inlineStr">
        <is>
          <t>⚧ Gender Split</t>
        </is>
      </c>
      <c r="J6" s="44" t="inlineStr">
        <is>
          <t>Country</t>
        </is>
      </c>
      <c r="K6" s="44" t="inlineStr">
        <is>
          <t>Viewers</t>
        </is>
      </c>
      <c r="L6" s="44" t="inlineStr">
        <is>
          <t>% Total</t>
        </is>
      </c>
      <c r="M6" s="44" t="inlineStr">
        <is>
          <t>Avg Watch</t>
        </is>
      </c>
      <c r="N6" s="44" t="inlineStr">
        <is>
          <t>Revenue</t>
        </is>
      </c>
      <c r="O6" s="44" t="inlineStr">
        <is>
          <t>Growth</t>
        </is>
      </c>
      <c r="P6" s="44" t="inlineStr">
        <is>
          <t>Tier</t>
        </is>
      </c>
    </row>
    <row r="7">
      <c r="B7" s="45" t="inlineStr">
        <is>
          <t>13-17</t>
        </is>
      </c>
      <c r="C7" s="48" t="n">
        <v>0.08</v>
      </c>
      <c r="D7" s="129" t="inlineStr"/>
      <c r="F7" s="45" t="inlineStr">
        <is>
          <t>Male</t>
        </is>
      </c>
      <c r="G7" s="130" t="n">
        <v>0.58</v>
      </c>
      <c r="J7" s="131" t="inlineStr">
        <is>
          <t>🇺🇸 United States</t>
        </is>
      </c>
      <c r="K7" s="46" t="n">
        <v>45000</v>
      </c>
      <c r="L7" s="58" t="n">
        <v>0.36</v>
      </c>
      <c r="M7" s="132" t="n">
        <v>8.5</v>
      </c>
      <c r="N7" s="60" t="n">
        <v>4200</v>
      </c>
      <c r="O7" s="133" t="n">
        <v>0.12</v>
      </c>
      <c r="P7" s="45" t="inlineStr">
        <is>
          <t>🥇</t>
        </is>
      </c>
    </row>
    <row r="8">
      <c r="B8" s="45" t="inlineStr">
        <is>
          <t>18-24</t>
        </is>
      </c>
      <c r="C8" s="48" t="n">
        <v>0.32</v>
      </c>
      <c r="D8" s="109" t="inlineStr"/>
      <c r="F8" s="45" t="inlineStr">
        <is>
          <t>Female</t>
        </is>
      </c>
      <c r="G8" s="134" t="n">
        <v>0.38</v>
      </c>
      <c r="J8" s="88" t="inlineStr">
        <is>
          <t>🇬🇧 United Kingdom</t>
        </is>
      </c>
      <c r="K8" s="46" t="n">
        <v>18000</v>
      </c>
      <c r="L8" s="58" t="n">
        <v>0.144</v>
      </c>
      <c r="M8" s="132" t="n">
        <v>7.8</v>
      </c>
      <c r="N8" s="60" t="n">
        <v>1500</v>
      </c>
      <c r="O8" s="133" t="n">
        <v>0.08</v>
      </c>
      <c r="P8" s="45" t="inlineStr">
        <is>
          <t>🥈</t>
        </is>
      </c>
    </row>
    <row r="9">
      <c r="B9" s="45" t="inlineStr">
        <is>
          <t>25-34</t>
        </is>
      </c>
      <c r="C9" s="48" t="n">
        <v>0.35</v>
      </c>
      <c r="D9" s="135" t="inlineStr"/>
      <c r="F9" s="45" t="inlineStr">
        <is>
          <t>Other</t>
        </is>
      </c>
      <c r="G9" s="136" t="n">
        <v>0.04</v>
      </c>
      <c r="J9" s="137" t="inlineStr">
        <is>
          <t>🇨🇦 Canada</t>
        </is>
      </c>
      <c r="K9" s="46" t="n">
        <v>12000</v>
      </c>
      <c r="L9" s="58" t="n">
        <v>0.096</v>
      </c>
      <c r="M9" s="132" t="n">
        <v>8.199999999999999</v>
      </c>
      <c r="N9" s="60" t="n">
        <v>1100</v>
      </c>
      <c r="O9" s="133" t="n">
        <v>0.1</v>
      </c>
      <c r="P9" s="45" t="inlineStr">
        <is>
          <t>🥈</t>
        </is>
      </c>
    </row>
    <row r="10">
      <c r="B10" s="45" t="inlineStr">
        <is>
          <t>35-44</t>
        </is>
      </c>
      <c r="C10" s="48" t="n">
        <v>0.15</v>
      </c>
      <c r="D10" s="138" t="inlineStr"/>
      <c r="J10" s="137" t="inlineStr">
        <is>
          <t>🇦🇺 Australia</t>
        </is>
      </c>
      <c r="K10" s="46" t="n">
        <v>9500</v>
      </c>
      <c r="L10" s="58" t="n">
        <v>0.076</v>
      </c>
      <c r="M10" s="132" t="n">
        <v>7.5</v>
      </c>
      <c r="N10" s="60" t="n">
        <v>850</v>
      </c>
      <c r="O10" s="133" t="n">
        <v>0.15</v>
      </c>
      <c r="P10" s="45" t="inlineStr">
        <is>
          <t>🥈</t>
        </is>
      </c>
    </row>
    <row r="11">
      <c r="B11" s="45" t="inlineStr">
        <is>
          <t>45-54</t>
        </is>
      </c>
      <c r="C11" s="48" t="n">
        <v>0.07000000000000001</v>
      </c>
      <c r="D11" s="139" t="inlineStr"/>
      <c r="J11" s="137" t="inlineStr">
        <is>
          <t>🇩🇪 Germany</t>
        </is>
      </c>
      <c r="K11" s="46" t="n">
        <v>7500</v>
      </c>
      <c r="L11" s="58" t="n">
        <v>0.06</v>
      </c>
      <c r="M11" s="132" t="n">
        <v>6.5</v>
      </c>
      <c r="N11" s="60" t="n">
        <v>580</v>
      </c>
      <c r="O11" s="133" t="n">
        <v>0.05</v>
      </c>
      <c r="P11" s="45" t="inlineStr">
        <is>
          <t>🥉</t>
        </is>
      </c>
    </row>
    <row r="12">
      <c r="B12" s="45" t="inlineStr">
        <is>
          <t>55+</t>
        </is>
      </c>
      <c r="C12" s="48" t="n">
        <v>0.03</v>
      </c>
      <c r="D12" s="139" t="inlineStr"/>
      <c r="J12" s="88" t="inlineStr">
        <is>
          <t>🇮🇳 India</t>
        </is>
      </c>
      <c r="K12" s="46" t="n">
        <v>15000</v>
      </c>
      <c r="L12" s="58" t="n">
        <v>0.12</v>
      </c>
      <c r="M12" s="132" t="n">
        <v>4.2</v>
      </c>
      <c r="N12" s="60" t="n">
        <v>320</v>
      </c>
      <c r="O12" s="133" t="n">
        <v>0.25</v>
      </c>
      <c r="P12" s="45" t="inlineStr">
        <is>
          <t>🥉</t>
        </is>
      </c>
    </row>
    <row r="13">
      <c r="J13" s="137" t="inlineStr">
        <is>
          <t>🇧🇷 Brazil</t>
        </is>
      </c>
      <c r="K13" s="46" t="n">
        <v>6500</v>
      </c>
      <c r="L13" s="58" t="n">
        <v>0.052</v>
      </c>
      <c r="M13" s="132" t="n">
        <v>5.8</v>
      </c>
      <c r="N13" s="60" t="n">
        <v>280</v>
      </c>
      <c r="O13" s="133" t="n">
        <v>0.18</v>
      </c>
      <c r="P13" s="45" t="inlineStr">
        <is>
          <t>🥉</t>
        </is>
      </c>
    </row>
    <row r="14">
      <c r="J14" s="137" t="inlineStr">
        <is>
          <t>Others</t>
        </is>
      </c>
      <c r="K14" s="46" t="n">
        <v>11500</v>
      </c>
      <c r="L14" s="58" t="n">
        <v>0.092</v>
      </c>
      <c r="M14" s="132" t="n">
        <v>5</v>
      </c>
      <c r="N14" s="60" t="n">
        <v>670</v>
      </c>
      <c r="O14" s="133" t="n">
        <v>0.08</v>
      </c>
      <c r="P14" s="45" t="inlineStr">
        <is>
          <t>➖</t>
        </is>
      </c>
    </row>
    <row r="15">
      <c r="B15" s="27" t="inlineStr">
        <is>
          <t>⏰ ENGAGEMENT PATTERNS</t>
        </is>
      </c>
    </row>
    <row r="16">
      <c r="B16" s="140" t="inlineStr">
        <is>
          <t>📅 Best Posting Times (Views by Hour)</t>
        </is>
      </c>
      <c r="J16" s="3" t="inlineStr">
        <is>
          <t>📈 SUBSCRIBER GROWTH ANALYSIS</t>
        </is>
      </c>
    </row>
    <row r="17">
      <c r="B17" s="141" t="inlineStr"/>
      <c r="C17" s="53" t="inlineStr">
        <is>
          <t>Mon</t>
        </is>
      </c>
      <c r="D17" s="53" t="inlineStr">
        <is>
          <t>Tue</t>
        </is>
      </c>
      <c r="E17" s="53" t="inlineStr">
        <is>
          <t>Wed</t>
        </is>
      </c>
      <c r="F17" s="53" t="inlineStr">
        <is>
          <t>Thu</t>
        </is>
      </c>
      <c r="G17" s="53" t="inlineStr">
        <is>
          <t>Fri</t>
        </is>
      </c>
      <c r="H17" s="53" t="inlineStr">
        <is>
          <t>Sat</t>
        </is>
      </c>
      <c r="I17" s="53" t="inlineStr">
        <is>
          <t>Sun</t>
        </is>
      </c>
      <c r="J17" s="66" t="inlineStr">
        <is>
          <t>Month</t>
        </is>
      </c>
      <c r="K17" s="66" t="inlineStr">
        <is>
          <t>Start Subs</t>
        </is>
      </c>
      <c r="L17" s="66" t="inlineStr">
        <is>
          <t>Gained</t>
        </is>
      </c>
      <c r="M17" s="66" t="inlineStr">
        <is>
          <t>Lost</t>
        </is>
      </c>
      <c r="N17" s="66" t="inlineStr">
        <is>
          <t>Net</t>
        </is>
      </c>
      <c r="O17" s="66" t="inlineStr">
        <is>
          <t>End Subs</t>
        </is>
      </c>
      <c r="P17" s="66" t="inlineStr">
        <is>
          <t>Growth %</t>
        </is>
      </c>
      <c r="Q17" s="66" t="inlineStr">
        <is>
          <t>Milestone</t>
        </is>
      </c>
    </row>
    <row r="18">
      <c r="B18" s="142" t="inlineStr">
        <is>
          <t>6AM-10AM</t>
        </is>
      </c>
      <c r="C18" s="143" t="n">
        <v>45</v>
      </c>
      <c r="D18" s="143" t="n">
        <v>52</v>
      </c>
      <c r="E18" s="143" t="n">
        <v>48</v>
      </c>
      <c r="F18" s="143" t="n">
        <v>55</v>
      </c>
      <c r="G18" s="144" t="n">
        <v>62</v>
      </c>
      <c r="H18" s="145" t="n">
        <v>85</v>
      </c>
      <c r="I18" s="145" t="n">
        <v>78</v>
      </c>
      <c r="J18" s="45" t="inlineStr">
        <is>
          <t>Oct 2024</t>
        </is>
      </c>
      <c r="K18" s="46" t="n">
        <v>98500</v>
      </c>
      <c r="L18" s="46" t="n">
        <v>4200</v>
      </c>
      <c r="M18" s="46" t="n">
        <v>380</v>
      </c>
      <c r="N18" s="46">
        <f>L18-M18</f>
        <v/>
      </c>
      <c r="O18" s="46">
        <f>K18+N18</f>
        <v/>
      </c>
      <c r="P18" s="100">
        <f>N18/K18</f>
        <v/>
      </c>
      <c r="Q18" s="45" t="inlineStr"/>
    </row>
    <row r="19">
      <c r="B19" s="142" t="inlineStr">
        <is>
          <t>10AM-2PM</t>
        </is>
      </c>
      <c r="C19" s="144" t="n">
        <v>68</v>
      </c>
      <c r="D19" s="145" t="n">
        <v>75</v>
      </c>
      <c r="E19" s="145" t="n">
        <v>72</v>
      </c>
      <c r="F19" s="145" t="n">
        <v>78</v>
      </c>
      <c r="G19" s="145" t="n">
        <v>82</v>
      </c>
      <c r="H19" s="145" t="n">
        <v>72</v>
      </c>
      <c r="I19" s="144" t="n">
        <v>65</v>
      </c>
      <c r="J19" s="45" t="inlineStr">
        <is>
          <t>Nov 2024</t>
        </is>
      </c>
      <c r="K19" s="46">
        <f>O18</f>
        <v/>
      </c>
      <c r="L19" s="46" t="n">
        <v>5100</v>
      </c>
      <c r="M19" s="46" t="n">
        <v>420</v>
      </c>
      <c r="N19" s="46">
        <f>L19-M19</f>
        <v/>
      </c>
      <c r="O19" s="46">
        <f>K19+N19</f>
        <v/>
      </c>
      <c r="P19" s="100">
        <f>N19/K19</f>
        <v/>
      </c>
      <c r="Q19" s="146" t="inlineStr">
        <is>
          <t>🎉 100K!</t>
        </is>
      </c>
    </row>
    <row r="20">
      <c r="B20" s="142" t="inlineStr">
        <is>
          <t>2PM-6PM</t>
        </is>
      </c>
      <c r="C20" s="145" t="n">
        <v>82</v>
      </c>
      <c r="D20" s="147" t="n">
        <v>88</v>
      </c>
      <c r="E20" s="145" t="n">
        <v>85</v>
      </c>
      <c r="F20" s="147" t="n">
        <v>92</v>
      </c>
      <c r="G20" s="145" t="n">
        <v>78</v>
      </c>
      <c r="H20" s="144" t="n">
        <v>68</v>
      </c>
      <c r="I20" s="144" t="n">
        <v>62</v>
      </c>
      <c r="J20" s="45" t="inlineStr">
        <is>
          <t>Dec 2024</t>
        </is>
      </c>
      <c r="K20" s="46">
        <f>O19</f>
        <v/>
      </c>
      <c r="L20" s="46" t="n">
        <v>6800</v>
      </c>
      <c r="M20" s="46" t="n">
        <v>510</v>
      </c>
      <c r="N20" s="46">
        <f>L20-M20</f>
        <v/>
      </c>
      <c r="O20" s="46">
        <f>K20+N20</f>
        <v/>
      </c>
      <c r="P20" s="100">
        <f>N20/K20</f>
        <v/>
      </c>
      <c r="Q20" s="45" t="inlineStr"/>
    </row>
    <row r="21">
      <c r="B21" s="142" t="inlineStr">
        <is>
          <t>6PM-10PM</t>
        </is>
      </c>
      <c r="C21" s="147" t="n">
        <v>95</v>
      </c>
      <c r="D21" s="147" t="n">
        <v>98</v>
      </c>
      <c r="E21" s="147" t="n">
        <v>92</v>
      </c>
      <c r="F21" s="148" t="n">
        <v>100</v>
      </c>
      <c r="G21" s="147" t="n">
        <v>88</v>
      </c>
      <c r="H21" s="145" t="n">
        <v>75</v>
      </c>
      <c r="I21" s="144" t="n">
        <v>70</v>
      </c>
      <c r="J21" s="45" t="inlineStr">
        <is>
          <t>Jan 2025</t>
        </is>
      </c>
      <c r="K21" s="46">
        <f>O20</f>
        <v/>
      </c>
      <c r="L21" s="46" t="n">
        <v>7500</v>
      </c>
      <c r="M21" s="46" t="n">
        <v>480</v>
      </c>
      <c r="N21" s="46">
        <f>L21-M21</f>
        <v/>
      </c>
      <c r="O21" s="46">
        <f>K21+N21</f>
        <v/>
      </c>
      <c r="P21" s="100">
        <f>N21/K21</f>
        <v/>
      </c>
      <c r="Q21" s="45" t="inlineStr"/>
    </row>
    <row r="22">
      <c r="B22" s="142" t="inlineStr">
        <is>
          <t>10PM-2AM</t>
        </is>
      </c>
      <c r="C22" s="145" t="n">
        <v>72</v>
      </c>
      <c r="D22" s="144" t="n">
        <v>68</v>
      </c>
      <c r="E22" s="144" t="n">
        <v>65</v>
      </c>
      <c r="F22" s="145" t="n">
        <v>75</v>
      </c>
      <c r="G22" s="147" t="n">
        <v>95</v>
      </c>
      <c r="H22" s="147" t="n">
        <v>92</v>
      </c>
      <c r="I22" s="147" t="n">
        <v>88</v>
      </c>
      <c r="J22" s="45" t="inlineStr">
        <is>
          <t>Feb 2025</t>
        </is>
      </c>
      <c r="K22" s="46">
        <f>O21</f>
        <v/>
      </c>
      <c r="L22" s="46" t="n">
        <v>8200</v>
      </c>
      <c r="M22" s="46" t="n">
        <v>520</v>
      </c>
      <c r="N22" s="46">
        <f>L22-M22</f>
        <v/>
      </c>
      <c r="O22" s="46">
        <f>K22+N22</f>
        <v/>
      </c>
      <c r="P22" s="100">
        <f>N22/K22</f>
        <v/>
      </c>
      <c r="Q22" s="146" t="inlineStr">
        <is>
          <t>🎉 125K!</t>
        </is>
      </c>
    </row>
    <row r="23">
      <c r="B23" s="142" t="inlineStr">
        <is>
          <t>2AM-6AM</t>
        </is>
      </c>
      <c r="C23" s="149" t="n">
        <v>25</v>
      </c>
      <c r="D23" s="149" t="n">
        <v>22</v>
      </c>
      <c r="E23" s="149" t="n">
        <v>20</v>
      </c>
      <c r="F23" s="149" t="n">
        <v>28</v>
      </c>
      <c r="G23" s="143" t="n">
        <v>45</v>
      </c>
      <c r="H23" s="143" t="n">
        <v>52</v>
      </c>
      <c r="I23" s="143" t="n">
        <v>48</v>
      </c>
      <c r="J23" s="45" t="inlineStr">
        <is>
          <t>Mar 2025</t>
        </is>
      </c>
      <c r="K23" s="46">
        <f>O22</f>
        <v/>
      </c>
      <c r="L23" s="46" t="n">
        <v>9000</v>
      </c>
      <c r="M23" s="46" t="n">
        <v>550</v>
      </c>
      <c r="N23" s="46">
        <f>L23-M23</f>
        <v/>
      </c>
      <c r="O23" s="46">
        <f>K23+N23</f>
        <v/>
      </c>
      <c r="P23" s="100">
        <f>N23/K23</f>
        <v/>
      </c>
      <c r="Q23" s="45" t="inlineStr"/>
    </row>
    <row r="26">
      <c r="B26" s="49" t="inlineStr">
        <is>
          <t>❤️ CONTENT AFFINITY SCORES</t>
        </is>
      </c>
      <c r="L26" s="4" t="inlineStr">
        <is>
          <t>🎭 AUDIENCE PERSONAS</t>
        </is>
      </c>
    </row>
    <row r="27">
      <c r="B27" s="91" t="inlineStr">
        <is>
          <t>Content Type</t>
        </is>
      </c>
      <c r="C27" s="91" t="inlineStr">
        <is>
          <t>Views</t>
        </is>
      </c>
      <c r="D27" s="91" t="inlineStr">
        <is>
          <t>Engagement</t>
        </is>
      </c>
      <c r="E27" s="91" t="inlineStr">
        <is>
          <t>Retention</t>
        </is>
      </c>
      <c r="F27" s="91" t="inlineStr">
        <is>
          <t>Shares</t>
        </is>
      </c>
      <c r="G27" s="91" t="inlineStr">
        <is>
          <t>Comments</t>
        </is>
      </c>
      <c r="H27" s="91" t="inlineStr">
        <is>
          <t>Overall Score</t>
        </is>
      </c>
      <c r="L27" s="150" t="inlineStr">
        <is>
          <t>👨‍💻 Tech Enthusiast</t>
        </is>
      </c>
      <c r="M27" s="45" t="inlineStr">
        <is>
          <t>25-34, Male</t>
        </is>
      </c>
      <c r="N27" s="45" t="inlineStr">
        <is>
          <t>Tutorials, Reviews</t>
        </is>
      </c>
      <c r="O27" s="45" t="inlineStr">
        <is>
          <t>High engagement, long watch time</t>
        </is>
      </c>
    </row>
    <row r="28">
      <c r="B28" s="45" t="inlineStr">
        <is>
          <t>🎓 Tutorials</t>
        </is>
      </c>
      <c r="C28" s="151" t="n">
        <v>85</v>
      </c>
      <c r="D28" s="143" t="n">
        <v>78</v>
      </c>
      <c r="E28" s="151" t="n">
        <v>82</v>
      </c>
      <c r="F28" s="143" t="n">
        <v>72</v>
      </c>
      <c r="G28" s="151" t="n">
        <v>88</v>
      </c>
      <c r="H28" s="152">
        <f>AVERAGE(C28:G28)</f>
        <v/>
      </c>
      <c r="L28" s="153" t="inlineStr">
        <is>
          <t>👩‍🎓 Career Builder</t>
        </is>
      </c>
      <c r="M28" s="45" t="inlineStr">
        <is>
          <t>22-30, Female</t>
        </is>
      </c>
      <c r="N28" s="45" t="inlineStr">
        <is>
          <t>Career tips, Courses</t>
        </is>
      </c>
      <c r="O28" s="45" t="inlineStr">
        <is>
          <t>High conversion, loyal</t>
        </is>
      </c>
    </row>
    <row r="29">
      <c r="B29" s="45" t="inlineStr">
        <is>
          <t>📱 Shorts</t>
        </is>
      </c>
      <c r="C29" s="151" t="n">
        <v>95</v>
      </c>
      <c r="D29" s="143" t="n">
        <v>65</v>
      </c>
      <c r="E29" s="154" t="n">
        <v>45</v>
      </c>
      <c r="F29" s="151" t="n">
        <v>92</v>
      </c>
      <c r="G29" s="154" t="n">
        <v>55</v>
      </c>
      <c r="H29" s="152">
        <f>AVERAGE(C29:G29)</f>
        <v/>
      </c>
      <c r="L29" s="155" t="inlineStr">
        <is>
          <t>🎮 Casual Viewer</t>
        </is>
      </c>
      <c r="M29" s="45" t="inlineStr">
        <is>
          <t>18-24, Mixed</t>
        </is>
      </c>
      <c r="N29" s="45" t="inlineStr">
        <is>
          <t>Shorts, Entertainment</t>
        </is>
      </c>
      <c r="O29" s="45" t="inlineStr">
        <is>
          <t>High volume, lower retention</t>
        </is>
      </c>
    </row>
    <row r="30">
      <c r="B30" s="45" t="inlineStr">
        <is>
          <t>🎤 Interviews</t>
        </is>
      </c>
      <c r="C30" s="143" t="n">
        <v>72</v>
      </c>
      <c r="D30" s="151" t="n">
        <v>85</v>
      </c>
      <c r="E30" s="151" t="n">
        <v>88</v>
      </c>
      <c r="F30" s="143" t="n">
        <v>68</v>
      </c>
      <c r="G30" s="151" t="n">
        <v>95</v>
      </c>
      <c r="H30" s="152">
        <f>AVERAGE(C30:G30)</f>
        <v/>
      </c>
      <c r="L30" s="156" t="inlineStr">
        <is>
          <t>💼 Business Owner</t>
        </is>
      </c>
      <c r="M30" s="45" t="inlineStr">
        <is>
          <t>35-45, Male</t>
        </is>
      </c>
      <c r="N30" s="45" t="inlineStr">
        <is>
          <t>Business tips, Tools</t>
        </is>
      </c>
      <c r="O30" s="45" t="inlineStr">
        <is>
          <t>Premium buyer, referrer</t>
        </is>
      </c>
    </row>
    <row r="31">
      <c r="B31" s="45" t="inlineStr">
        <is>
          <t>📦 Unboxings</t>
        </is>
      </c>
      <c r="C31" s="143" t="n">
        <v>78</v>
      </c>
      <c r="D31" s="143" t="n">
        <v>72</v>
      </c>
      <c r="E31" s="143" t="n">
        <v>65</v>
      </c>
      <c r="F31" s="154" t="n">
        <v>58</v>
      </c>
      <c r="G31" s="154" t="n">
        <v>62</v>
      </c>
      <c r="H31" s="152">
        <f>AVERAGE(C31:G31)</f>
        <v/>
      </c>
    </row>
    <row r="32">
      <c r="B32" s="45" t="inlineStr">
        <is>
          <t>🎮 Gaming</t>
        </is>
      </c>
      <c r="C32" s="143" t="n">
        <v>68</v>
      </c>
      <c r="D32" s="151" t="n">
        <v>88</v>
      </c>
      <c r="E32" s="143" t="n">
        <v>75</v>
      </c>
      <c r="F32" s="151" t="n">
        <v>82</v>
      </c>
      <c r="G32" s="143" t="n">
        <v>78</v>
      </c>
      <c r="H32" s="152">
        <f>AVERAGE(C32:G32)</f>
        <v/>
      </c>
    </row>
    <row r="33">
      <c r="B33" s="45" t="inlineStr">
        <is>
          <t>📰 News/Updates</t>
        </is>
      </c>
      <c r="C33" s="154" t="n">
        <v>62</v>
      </c>
      <c r="D33" s="154" t="n">
        <v>58</v>
      </c>
      <c r="E33" s="154" t="n">
        <v>55</v>
      </c>
      <c r="F33" s="143" t="n">
        <v>75</v>
      </c>
      <c r="G33" s="143" t="n">
        <v>72</v>
      </c>
      <c r="H33" s="152">
        <f>AVERAGE(C33:G33)</f>
        <v/>
      </c>
    </row>
    <row r="34">
      <c r="B34" s="45" t="inlineStr">
        <is>
          <t>🎬 Vlogs</t>
        </is>
      </c>
      <c r="C34" s="143" t="n">
        <v>75</v>
      </c>
      <c r="D34" s="151" t="n">
        <v>82</v>
      </c>
      <c r="E34" s="143" t="n">
        <v>78</v>
      </c>
      <c r="F34" s="143" t="n">
        <v>65</v>
      </c>
      <c r="G34" s="151" t="n">
        <v>85</v>
      </c>
      <c r="H34" s="152">
        <f>AVERAGE(C34:G34)</f>
        <v/>
      </c>
    </row>
  </sheetData>
  <mergeCells count="15">
    <mergeCell ref="O27:R27"/>
    <mergeCell ref="J5:R5"/>
    <mergeCell ref="F6:H6"/>
    <mergeCell ref="J16:R16"/>
    <mergeCell ref="O30:R30"/>
    <mergeCell ref="L26:R26"/>
    <mergeCell ref="B2:R2"/>
    <mergeCell ref="B26:J26"/>
    <mergeCell ref="B16:H16"/>
    <mergeCell ref="O29:R29"/>
    <mergeCell ref="B15:H15"/>
    <mergeCell ref="B3:R3"/>
    <mergeCell ref="O28:R28"/>
    <mergeCell ref="B5:H5"/>
    <mergeCell ref="B6:D6"/>
  </mergeCells>
  <conditionalFormatting sqref="N18:N23">
    <cfRule type="cellIs" priority="1" operator="greaterThan" dxfId="0">
      <formula>0</formula>
    </cfRule>
  </conditionalFormatting>
  <conditionalFormatting sqref="P18:P23">
    <cfRule type="dataBar" priority="2">
      <dataBar showValue="1">
        <cfvo type="num" val="0"/>
        <cfvo type="num" val="0.1"/>
        <color rgb="009B59B6"/>
      </dataBar>
    </cfRule>
  </conditionalFormatting>
  <conditionalFormatting sqref="H28:H34">
    <cfRule type="colorScale" priority="3">
      <colorScale>
        <cfvo type="num" val="50"/>
        <cfvo type="num" val="70"/>
        <cfvo type="num" val="9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E676"/>
    <outlinePr summaryBelow="1" summaryRight="1"/>
    <pageSetUpPr/>
  </sheetPr>
  <dimension ref="B2:R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2" ht="35" customHeight="1">
      <c r="B2" s="157" t="inlineStr">
        <is>
          <t>🚀 GROWTH STRATEGY WAR ROOM</t>
        </is>
      </c>
    </row>
    <row r="3" ht="20" customHeight="1">
      <c r="B3" s="158" t="inlineStr">
        <is>
          <t>Plan • Execute • Scale</t>
        </is>
      </c>
    </row>
    <row r="5">
      <c r="B5" s="42" t="inlineStr">
        <is>
          <t>🎯 90-DAY SPRINT OBJECTIVES</t>
        </is>
      </c>
      <c r="L5" s="3" t="inlineStr">
        <is>
          <t>📋 CONTENT STRATEGY MATRIX</t>
        </is>
      </c>
    </row>
    <row r="6">
      <c r="B6" s="44" t="inlineStr">
        <is>
          <t>Objective</t>
        </is>
      </c>
      <c r="C6" s="44" t="inlineStr">
        <is>
          <t>Key Result</t>
        </is>
      </c>
      <c r="D6" s="44" t="inlineStr">
        <is>
          <t>Target</t>
        </is>
      </c>
      <c r="E6" s="44" t="inlineStr">
        <is>
          <t>Current</t>
        </is>
      </c>
      <c r="F6" s="44" t="inlineStr">
        <is>
          <t>Progress</t>
        </is>
      </c>
      <c r="G6" s="44" t="inlineStr">
        <is>
          <t>Owner</t>
        </is>
      </c>
      <c r="H6" s="44" t="inlineStr">
        <is>
          <t>Status</t>
        </is>
      </c>
      <c r="I6" s="44" t="inlineStr">
        <is>
          <t>Priority</t>
        </is>
      </c>
      <c r="J6" s="44" t="inlineStr">
        <is>
          <t>Due</t>
        </is>
      </c>
      <c r="L6" s="66" t="inlineStr">
        <is>
          <t>Content Pillar</t>
        </is>
      </c>
      <c r="M6" s="66" t="inlineStr">
        <is>
          <t>Weekly Target</t>
        </is>
      </c>
      <c r="N6" s="66" t="inlineStr">
        <is>
          <t>Primary Platform</t>
        </is>
      </c>
      <c r="O6" s="66" t="inlineStr">
        <is>
          <t>Goal</t>
        </is>
      </c>
      <c r="P6" s="66" t="inlineStr">
        <is>
          <t>Effort</t>
        </is>
      </c>
      <c r="Q6" s="66" t="inlineStr">
        <is>
          <t>Impact</t>
        </is>
      </c>
    </row>
    <row r="7">
      <c r="B7" s="45" t="inlineStr">
        <is>
          <t>Grow YouTube</t>
        </is>
      </c>
      <c r="C7" s="45" t="inlineStr">
        <is>
          <t>Reach 150K subscribers</t>
        </is>
      </c>
      <c r="D7" s="46" t="n">
        <v>150000</v>
      </c>
      <c r="E7" s="47" t="n">
        <v>125000</v>
      </c>
      <c r="F7" s="48">
        <f>E7/D7</f>
        <v/>
      </c>
      <c r="G7" s="45" t="inlineStr">
        <is>
          <t>Tony</t>
        </is>
      </c>
      <c r="H7" s="159" t="inlineStr">
        <is>
          <t>🟡 In Progress</t>
        </is>
      </c>
      <c r="I7" s="45" t="inlineStr">
        <is>
          <t>🔥 P1</t>
        </is>
      </c>
      <c r="J7" s="45" t="inlineStr">
        <is>
          <t>Mar 31</t>
        </is>
      </c>
      <c r="L7" s="160" t="inlineStr">
        <is>
          <t>🎓 Educational</t>
        </is>
      </c>
      <c r="M7" s="45" t="n">
        <v>2</v>
      </c>
      <c r="N7" s="45" t="inlineStr">
        <is>
          <t>YouTube</t>
        </is>
      </c>
      <c r="O7" s="45" t="inlineStr">
        <is>
          <t>Authority</t>
        </is>
      </c>
      <c r="P7" s="45" t="inlineStr">
        <is>
          <t>High</t>
        </is>
      </c>
      <c r="Q7" s="45" t="inlineStr">
        <is>
          <t>⭐⭐⭐⭐⭐</t>
        </is>
      </c>
    </row>
    <row r="8">
      <c r="B8" s="45" t="inlineStr">
        <is>
          <t>Grow YouTube</t>
        </is>
      </c>
      <c r="C8" s="45" t="inlineStr">
        <is>
          <t>Publish 36 videos</t>
        </is>
      </c>
      <c r="D8" s="46" t="n">
        <v>36</v>
      </c>
      <c r="E8" s="47" t="n">
        <v>28</v>
      </c>
      <c r="F8" s="48">
        <f>E8/D8</f>
        <v/>
      </c>
      <c r="G8" s="45" t="inlineStr">
        <is>
          <t>Tony</t>
        </is>
      </c>
      <c r="H8" s="161" t="inlineStr">
        <is>
          <t>🟢 On Track</t>
        </is>
      </c>
      <c r="I8" s="45" t="inlineStr">
        <is>
          <t>🔥 P1</t>
        </is>
      </c>
      <c r="J8" s="45" t="inlineStr">
        <is>
          <t>Mar 31</t>
        </is>
      </c>
      <c r="L8" s="162" t="inlineStr">
        <is>
          <t>📱 Short-form</t>
        </is>
      </c>
      <c r="M8" s="45" t="n">
        <v>5</v>
      </c>
      <c r="N8" s="45" t="inlineStr">
        <is>
          <t>TikTok/Reels</t>
        </is>
      </c>
      <c r="O8" s="45" t="inlineStr">
        <is>
          <t>Reach</t>
        </is>
      </c>
      <c r="P8" s="45" t="inlineStr">
        <is>
          <t>Medium</t>
        </is>
      </c>
      <c r="Q8" s="45" t="inlineStr">
        <is>
          <t>⭐⭐⭐⭐</t>
        </is>
      </c>
    </row>
    <row r="9">
      <c r="B9" s="45" t="inlineStr">
        <is>
          <t>Monetization</t>
        </is>
      </c>
      <c r="C9" s="45" t="inlineStr">
        <is>
          <t>Launch digital course</t>
        </is>
      </c>
      <c r="D9" s="48" t="n">
        <v>1</v>
      </c>
      <c r="E9" s="163" t="n">
        <v>0.7</v>
      </c>
      <c r="F9" s="48">
        <f>E9/D9</f>
        <v/>
      </c>
      <c r="G9" s="45" t="inlineStr">
        <is>
          <t>Tony</t>
        </is>
      </c>
      <c r="H9" s="159" t="inlineStr">
        <is>
          <t>🟡 In Progress</t>
        </is>
      </c>
      <c r="I9" s="45" t="inlineStr">
        <is>
          <t>🔥 P1</t>
        </is>
      </c>
      <c r="J9" s="45" t="inlineStr">
        <is>
          <t>Feb 28</t>
        </is>
      </c>
      <c r="L9" s="113" t="inlineStr">
        <is>
          <t>🎙️ Podcast</t>
        </is>
      </c>
      <c r="M9" s="45" t="n">
        <v>1</v>
      </c>
      <c r="N9" s="45" t="inlineStr">
        <is>
          <t>Spotify/YT</t>
        </is>
      </c>
      <c r="O9" s="45" t="inlineStr">
        <is>
          <t>Depth</t>
        </is>
      </c>
      <c r="P9" s="45" t="inlineStr">
        <is>
          <t>High</t>
        </is>
      </c>
      <c r="Q9" s="45" t="inlineStr">
        <is>
          <t>⭐⭐⭐⭐</t>
        </is>
      </c>
    </row>
    <row r="10">
      <c r="B10" s="45" t="inlineStr">
        <is>
          <t>Monetization</t>
        </is>
      </c>
      <c r="C10" s="45" t="inlineStr">
        <is>
          <t>Sign 5 brand deals</t>
        </is>
      </c>
      <c r="D10" s="46" t="n">
        <v>5</v>
      </c>
      <c r="E10" s="47" t="n">
        <v>3</v>
      </c>
      <c r="F10" s="48">
        <f>E10/D10</f>
        <v/>
      </c>
      <c r="G10" s="45" t="inlineStr">
        <is>
          <t>Team</t>
        </is>
      </c>
      <c r="H10" s="161" t="inlineStr">
        <is>
          <t>🟢 On Track</t>
        </is>
      </c>
      <c r="I10" s="45" t="inlineStr">
        <is>
          <t>⚡ P2</t>
        </is>
      </c>
      <c r="J10" s="45" t="inlineStr">
        <is>
          <t>Mar 31</t>
        </is>
      </c>
      <c r="L10" s="164" t="inlineStr">
        <is>
          <t>📰 Newsletter</t>
        </is>
      </c>
      <c r="M10" s="45" t="n">
        <v>1</v>
      </c>
      <c r="N10" s="45" t="inlineStr">
        <is>
          <t>Email</t>
        </is>
      </c>
      <c r="O10" s="45" t="inlineStr">
        <is>
          <t>Retention</t>
        </is>
      </c>
      <c r="P10" s="45" t="inlineStr">
        <is>
          <t>Low</t>
        </is>
      </c>
      <c r="Q10" s="45" t="inlineStr">
        <is>
          <t>⭐⭐⭐⭐⭐</t>
        </is>
      </c>
    </row>
    <row r="11">
      <c r="B11" s="45" t="inlineStr">
        <is>
          <t>Community</t>
        </is>
      </c>
      <c r="C11" s="45" t="inlineStr">
        <is>
          <t>Grow email list to 15K</t>
        </is>
      </c>
      <c r="D11" s="46" t="n">
        <v>15000</v>
      </c>
      <c r="E11" s="47" t="n">
        <v>8500</v>
      </c>
      <c r="F11" s="48">
        <f>E11/D11</f>
        <v/>
      </c>
      <c r="G11" s="45" t="inlineStr">
        <is>
          <t>Sarah</t>
        </is>
      </c>
      <c r="H11" s="159" t="inlineStr">
        <is>
          <t>🟡 In Progress</t>
        </is>
      </c>
      <c r="I11" s="45" t="inlineStr">
        <is>
          <t>⚡ P2</t>
        </is>
      </c>
      <c r="J11" s="45" t="inlineStr">
        <is>
          <t>Mar 31</t>
        </is>
      </c>
      <c r="L11" s="165" t="inlineStr">
        <is>
          <t>🔴 Live</t>
        </is>
      </c>
      <c r="M11" s="45" t="n">
        <v>1</v>
      </c>
      <c r="N11" s="45" t="inlineStr">
        <is>
          <t>YouTube/Twitch</t>
        </is>
      </c>
      <c r="O11" s="45" t="inlineStr">
        <is>
          <t>Community</t>
        </is>
      </c>
      <c r="P11" s="45" t="inlineStr">
        <is>
          <t>Medium</t>
        </is>
      </c>
      <c r="Q11" s="45" t="inlineStr">
        <is>
          <t>⭐⭐⭐</t>
        </is>
      </c>
    </row>
    <row r="12">
      <c r="B12" s="45" t="inlineStr">
        <is>
          <t>Community</t>
        </is>
      </c>
      <c r="C12" s="45" t="inlineStr">
        <is>
          <t>Launch Discord server</t>
        </is>
      </c>
      <c r="D12" s="48" t="n">
        <v>1</v>
      </c>
      <c r="E12" s="163" t="n">
        <v>0.5</v>
      </c>
      <c r="F12" s="48">
        <f>E12/D12</f>
        <v/>
      </c>
      <c r="G12" s="45" t="inlineStr">
        <is>
          <t>Mike</t>
        </is>
      </c>
      <c r="H12" s="159" t="inlineStr">
        <is>
          <t>🟡 In Progress</t>
        </is>
      </c>
      <c r="I12" s="45" t="inlineStr">
        <is>
          <t>💚 P3</t>
        </is>
      </c>
      <c r="J12" s="45" t="inlineStr">
        <is>
          <t>Feb 15</t>
        </is>
      </c>
      <c r="L12" s="166" t="inlineStr">
        <is>
          <t>🤝 Collabs</t>
        </is>
      </c>
      <c r="M12" s="45" t="n">
        <v>0.5</v>
      </c>
      <c r="N12" s="45" t="inlineStr">
        <is>
          <t>Cross-platform</t>
        </is>
      </c>
      <c r="O12" s="45" t="inlineStr">
        <is>
          <t>Growth</t>
        </is>
      </c>
      <c r="P12" s="45" t="inlineStr">
        <is>
          <t>High</t>
        </is>
      </c>
      <c r="Q12" s="45" t="inlineStr">
        <is>
          <t>⭐⭐⭐⭐⭐</t>
        </is>
      </c>
    </row>
    <row r="13">
      <c r="B13" s="45" t="inlineStr">
        <is>
          <t>Content</t>
        </is>
      </c>
      <c r="C13" s="45" t="inlineStr">
        <is>
          <t>Avg 100K views/video</t>
        </is>
      </c>
      <c r="D13" s="46" t="n">
        <v>100000</v>
      </c>
      <c r="E13" s="47" t="n">
        <v>85000</v>
      </c>
      <c r="F13" s="48">
        <f>E13/D13</f>
        <v/>
      </c>
      <c r="G13" s="45" t="inlineStr">
        <is>
          <t>Tony</t>
        </is>
      </c>
      <c r="H13" s="159" t="inlineStr">
        <is>
          <t>🟡 In Progress</t>
        </is>
      </c>
      <c r="I13" s="45" t="inlineStr">
        <is>
          <t>🔥 P1</t>
        </is>
      </c>
      <c r="J13" s="45" t="inlineStr">
        <is>
          <t>Mar 31</t>
        </is>
      </c>
    </row>
    <row r="14">
      <c r="B14" s="45" t="inlineStr">
        <is>
          <t>Systems</t>
        </is>
      </c>
      <c r="C14" s="45" t="inlineStr">
        <is>
          <t>Hire video editor</t>
        </is>
      </c>
      <c r="D14" s="48" t="n">
        <v>1</v>
      </c>
      <c r="E14" s="163" t="n">
        <v>0.8</v>
      </c>
      <c r="F14" s="48">
        <f>E14/D14</f>
        <v/>
      </c>
      <c r="G14" s="45" t="inlineStr">
        <is>
          <t>Tony</t>
        </is>
      </c>
      <c r="H14" s="161" t="inlineStr">
        <is>
          <t>🟢 On Track</t>
        </is>
      </c>
      <c r="I14" s="45" t="inlineStr">
        <is>
          <t>⚡ P2</t>
        </is>
      </c>
      <c r="J14" s="45" t="inlineStr">
        <is>
          <t>Feb 01</t>
        </is>
      </c>
    </row>
    <row r="15">
      <c r="L15" s="27" t="inlineStr">
        <is>
          <t>🧪 GROWTH EXPERIMENTS</t>
        </is>
      </c>
    </row>
    <row r="16">
      <c r="L16" s="29" t="inlineStr">
        <is>
          <t>Experiment</t>
        </is>
      </c>
      <c r="M16" s="29" t="inlineStr">
        <is>
          <t>Hypothesis</t>
        </is>
      </c>
      <c r="N16" s="29" t="inlineStr">
        <is>
          <t>Metric</t>
        </is>
      </c>
      <c r="O16" s="29" t="inlineStr">
        <is>
          <t>Status</t>
        </is>
      </c>
      <c r="P16" s="29" t="inlineStr">
        <is>
          <t>Result</t>
        </is>
      </c>
      <c r="Q16" s="29" t="inlineStr">
        <is>
          <t>Next Step</t>
        </is>
      </c>
    </row>
    <row r="17">
      <c r="B17" s="4" t="inlineStr">
        <is>
          <t>📅 WEEKLY ACTION TRACKER</t>
        </is>
      </c>
      <c r="L17" s="45" t="inlineStr">
        <is>
          <t>Post at 3PM vs 6PM</t>
        </is>
      </c>
      <c r="M17" s="45" t="inlineStr">
        <is>
          <t>3PM gets more views</t>
        </is>
      </c>
      <c r="N17" s="45" t="inlineStr">
        <is>
          <t>CTR</t>
        </is>
      </c>
      <c r="O17" s="161" t="inlineStr">
        <is>
          <t>✅ Done</t>
        </is>
      </c>
      <c r="P17" s="167" t="inlineStr">
        <is>
          <t>+15% CTR</t>
        </is>
      </c>
      <c r="Q17" s="45" t="inlineStr">
        <is>
          <t>Shift schedule</t>
        </is>
      </c>
    </row>
    <row r="18">
      <c r="B18" s="85" t="inlineStr">
        <is>
          <t>Task</t>
        </is>
      </c>
      <c r="C18" s="85" t="inlineStr">
        <is>
          <t>Type</t>
        </is>
      </c>
      <c r="D18" s="85" t="inlineStr">
        <is>
          <t>Platform</t>
        </is>
      </c>
      <c r="E18" s="85" t="inlineStr">
        <is>
          <t>Mon</t>
        </is>
      </c>
      <c r="F18" s="85" t="inlineStr">
        <is>
          <t>Tue</t>
        </is>
      </c>
      <c r="G18" s="85" t="inlineStr">
        <is>
          <t>Wed</t>
        </is>
      </c>
      <c r="H18" s="85" t="inlineStr">
        <is>
          <t>Thu</t>
        </is>
      </c>
      <c r="I18" s="85" t="inlineStr">
        <is>
          <t>Fri</t>
        </is>
      </c>
      <c r="J18" s="85" t="inlineStr">
        <is>
          <t>Sat</t>
        </is>
      </c>
      <c r="K18" s="85" t="inlineStr">
        <is>
          <t>Sun</t>
        </is>
      </c>
      <c r="L18" s="45" t="inlineStr">
        <is>
          <t>Longer thumbnails text</t>
        </is>
      </c>
      <c r="M18" s="45" t="inlineStr">
        <is>
          <t>More clicks</t>
        </is>
      </c>
      <c r="N18" s="45" t="inlineStr">
        <is>
          <t>CTR</t>
        </is>
      </c>
      <c r="O18" s="168" t="inlineStr">
        <is>
          <t>🔄 Running</t>
        </is>
      </c>
      <c r="P18" s="45" t="inlineStr">
        <is>
          <t>Pending</t>
        </is>
      </c>
      <c r="Q18" s="45" t="inlineStr">
        <is>
          <t>Continue test</t>
        </is>
      </c>
    </row>
    <row r="19">
      <c r="B19" s="45" t="inlineStr">
        <is>
          <t>Film main video</t>
        </is>
      </c>
      <c r="C19" s="169" t="inlineStr">
        <is>
          <t>🎬 Production</t>
        </is>
      </c>
      <c r="D19" s="45" t="inlineStr">
        <is>
          <t>YouTube</t>
        </is>
      </c>
      <c r="E19" s="170" t="inlineStr">
        <is>
          <t>✅</t>
        </is>
      </c>
      <c r="F19" s="170" t="inlineStr">
        <is>
          <t>✅</t>
        </is>
      </c>
      <c r="G19" s="36" t="inlineStr"/>
      <c r="H19" s="36" t="inlineStr"/>
      <c r="I19" s="36" t="inlineStr"/>
      <c r="J19" s="36" t="inlineStr"/>
      <c r="K19" s="36" t="inlineStr"/>
      <c r="L19" s="45" t="inlineStr">
        <is>
          <t>Shorts to Long funnel</t>
        </is>
      </c>
      <c r="M19" s="45" t="inlineStr">
        <is>
          <t>Converts viewers</t>
        </is>
      </c>
      <c r="N19" s="45" t="inlineStr">
        <is>
          <t>Subs</t>
        </is>
      </c>
      <c r="O19" s="161" t="inlineStr">
        <is>
          <t>✅ Done</t>
        </is>
      </c>
      <c r="P19" s="167" t="inlineStr">
        <is>
          <t>+22% subs</t>
        </is>
      </c>
      <c r="Q19" s="45" t="inlineStr">
        <is>
          <t>Scale up</t>
        </is>
      </c>
    </row>
    <row r="20">
      <c r="B20" s="45" t="inlineStr">
        <is>
          <t>Edit &amp; publish</t>
        </is>
      </c>
      <c r="C20" s="171" t="inlineStr">
        <is>
          <t>✂️ Editing</t>
        </is>
      </c>
      <c r="D20" s="45" t="inlineStr">
        <is>
          <t>YouTube</t>
        </is>
      </c>
      <c r="E20" s="36" t="inlineStr"/>
      <c r="F20" s="36" t="inlineStr"/>
      <c r="G20" s="170" t="inlineStr">
        <is>
          <t>✅</t>
        </is>
      </c>
      <c r="H20" s="170" t="inlineStr">
        <is>
          <t>✅</t>
        </is>
      </c>
      <c r="I20" s="36" t="inlineStr"/>
      <c r="J20" s="36" t="inlineStr"/>
      <c r="K20" s="36" t="inlineStr"/>
      <c r="L20" s="45" t="inlineStr">
        <is>
          <t>Email popup timing</t>
        </is>
      </c>
      <c r="M20" s="45" t="inlineStr">
        <is>
          <t>Later = more signups</t>
        </is>
      </c>
      <c r="N20" s="45" t="inlineStr">
        <is>
          <t>Conversion</t>
        </is>
      </c>
      <c r="O20" s="168" t="inlineStr">
        <is>
          <t>🔄 Running</t>
        </is>
      </c>
      <c r="P20" s="45" t="inlineStr">
        <is>
          <t>Pending</t>
        </is>
      </c>
      <c r="Q20" s="45" t="inlineStr">
        <is>
          <t>A/B test</t>
        </is>
      </c>
    </row>
    <row r="21">
      <c r="B21" s="45" t="inlineStr">
        <is>
          <t>Create 2 Reels</t>
        </is>
      </c>
      <c r="C21" s="172" t="inlineStr">
        <is>
          <t>📱 Short-form</t>
        </is>
      </c>
      <c r="D21" s="45" t="inlineStr">
        <is>
          <t>Instagram</t>
        </is>
      </c>
      <c r="E21" s="170" t="inlineStr">
        <is>
          <t>✅</t>
        </is>
      </c>
      <c r="F21" s="36" t="inlineStr"/>
      <c r="G21" s="170" t="inlineStr">
        <is>
          <t>✅</t>
        </is>
      </c>
      <c r="H21" s="36" t="inlineStr"/>
      <c r="I21" s="36" t="inlineStr"/>
      <c r="J21" s="36" t="inlineStr"/>
      <c r="K21" s="36" t="inlineStr"/>
      <c r="L21" s="45" t="inlineStr">
        <is>
          <t>Collab frequency</t>
        </is>
      </c>
      <c r="M21" s="45" t="inlineStr">
        <is>
          <t>1/week optimal</t>
        </is>
      </c>
      <c r="N21" s="45" t="inlineStr">
        <is>
          <t>Growth</t>
        </is>
      </c>
      <c r="O21" s="45" t="inlineStr">
        <is>
          <t>📋 Planned</t>
        </is>
      </c>
      <c r="P21" s="45" t="inlineStr">
        <is>
          <t>-</t>
        </is>
      </c>
      <c r="Q21" s="45" t="inlineStr">
        <is>
          <t>Start Feb</t>
        </is>
      </c>
    </row>
    <row r="22">
      <c r="B22" s="45" t="inlineStr">
        <is>
          <t>Record podcast</t>
        </is>
      </c>
      <c r="C22" s="173" t="inlineStr">
        <is>
          <t>🎙️ Audio</t>
        </is>
      </c>
      <c r="D22" s="45" t="inlineStr">
        <is>
          <t>Spotify</t>
        </is>
      </c>
      <c r="E22" s="36" t="inlineStr"/>
      <c r="F22" s="36" t="inlineStr"/>
      <c r="G22" s="36" t="inlineStr"/>
      <c r="H22" s="170" t="inlineStr">
        <is>
          <t>✅</t>
        </is>
      </c>
      <c r="I22" s="36" t="inlineStr"/>
      <c r="J22" s="36" t="inlineStr"/>
      <c r="K22" s="36" t="inlineStr"/>
    </row>
    <row r="23">
      <c r="B23" s="45" t="inlineStr">
        <is>
          <t>TikTok content</t>
        </is>
      </c>
      <c r="C23" s="172" t="inlineStr">
        <is>
          <t>📱 Short-form</t>
        </is>
      </c>
      <c r="D23" s="45" t="inlineStr">
        <is>
          <t>TikTok</t>
        </is>
      </c>
      <c r="E23" s="170" t="inlineStr">
        <is>
          <t>✅</t>
        </is>
      </c>
      <c r="F23" s="170" t="inlineStr">
        <is>
          <t>✅</t>
        </is>
      </c>
      <c r="G23" s="170" t="inlineStr">
        <is>
          <t>✅</t>
        </is>
      </c>
      <c r="H23" s="170" t="inlineStr">
        <is>
          <t>✅</t>
        </is>
      </c>
      <c r="I23" s="170" t="inlineStr">
        <is>
          <t>✅</t>
        </is>
      </c>
      <c r="J23" s="36" t="inlineStr"/>
      <c r="K23" s="36" t="inlineStr"/>
    </row>
    <row r="24">
      <c r="B24" s="45" t="inlineStr">
        <is>
          <t>Email newsletter</t>
        </is>
      </c>
      <c r="C24" s="174" t="inlineStr">
        <is>
          <t>📰 Writing</t>
        </is>
      </c>
      <c r="D24" s="45" t="inlineStr">
        <is>
          <t>Email</t>
        </is>
      </c>
      <c r="E24" s="36" t="inlineStr"/>
      <c r="F24" s="36" t="inlineStr"/>
      <c r="G24" s="36" t="inlineStr"/>
      <c r="H24" s="36" t="inlineStr"/>
      <c r="I24" s="170" t="inlineStr">
        <is>
          <t>✅</t>
        </is>
      </c>
      <c r="J24" s="36" t="inlineStr"/>
      <c r="K24" s="36" t="inlineStr"/>
    </row>
    <row r="25">
      <c r="B25" s="45" t="inlineStr">
        <is>
          <t>Engage comments</t>
        </is>
      </c>
      <c r="C25" s="175" t="inlineStr">
        <is>
          <t>💬 Community</t>
        </is>
      </c>
      <c r="D25" s="45" t="inlineStr">
        <is>
          <t>All</t>
        </is>
      </c>
      <c r="E25" s="170" t="inlineStr">
        <is>
          <t>✅</t>
        </is>
      </c>
      <c r="F25" s="170" t="inlineStr">
        <is>
          <t>✅</t>
        </is>
      </c>
      <c r="G25" s="170" t="inlineStr">
        <is>
          <t>✅</t>
        </is>
      </c>
      <c r="H25" s="170" t="inlineStr">
        <is>
          <t>✅</t>
        </is>
      </c>
      <c r="I25" s="170" t="inlineStr">
        <is>
          <t>✅</t>
        </is>
      </c>
      <c r="J25" s="170" t="inlineStr">
        <is>
          <t>✅</t>
        </is>
      </c>
      <c r="K25" s="170" t="inlineStr">
        <is>
          <t>✅</t>
        </is>
      </c>
    </row>
    <row r="26">
      <c r="B26" s="45" t="inlineStr">
        <is>
          <t>Analytics review</t>
        </is>
      </c>
      <c r="C26" s="176" t="inlineStr">
        <is>
          <t>📊 Analysis</t>
        </is>
      </c>
      <c r="D26" s="45" t="inlineStr">
        <is>
          <t>All</t>
        </is>
      </c>
      <c r="E26" s="36" t="inlineStr"/>
      <c r="F26" s="36" t="inlineStr"/>
      <c r="G26" s="36" t="inlineStr"/>
      <c r="H26" s="36" t="inlineStr"/>
      <c r="I26" s="36" t="inlineStr"/>
      <c r="J26" s="36" t="inlineStr"/>
      <c r="K26" s="170" t="inlineStr">
        <is>
          <t>✅</t>
        </is>
      </c>
    </row>
    <row r="29">
      <c r="B29" s="97" t="inlineStr">
        <is>
          <t>🏆 MILESTONE ROADMAP 2025</t>
        </is>
      </c>
    </row>
    <row r="30">
      <c r="B30" s="177" t="inlineStr">
        <is>
          <t>Q1</t>
        </is>
      </c>
      <c r="F30" s="178" t="inlineStr">
        <is>
          <t>Q2</t>
        </is>
      </c>
      <c r="J30" s="179" t="inlineStr">
        <is>
          <t>Q3</t>
        </is>
      </c>
      <c r="N30" s="180" t="inlineStr">
        <is>
          <t>Q4</t>
        </is>
      </c>
    </row>
    <row r="31">
      <c r="B31" s="181" t="inlineStr">
        <is>
          <t>📈 150K Subs</t>
        </is>
      </c>
      <c r="F31" s="181" t="inlineStr">
        <is>
          <t>📈 200K Subs</t>
        </is>
      </c>
      <c r="J31" s="181" t="inlineStr">
        <is>
          <t>📈 300K Subs</t>
        </is>
      </c>
      <c r="N31" s="181" t="inlineStr">
        <is>
          <t>📈 500K Subs</t>
        </is>
      </c>
    </row>
    <row r="32">
      <c r="B32" s="181" t="inlineStr">
        <is>
          <t>🎯 Launch Course</t>
        </is>
      </c>
      <c r="F32" s="181" t="inlineStr">
        <is>
          <t>🎯 Hire Team</t>
        </is>
      </c>
      <c r="J32" s="181" t="inlineStr">
        <is>
          <t>🎯 Book Deal</t>
        </is>
      </c>
      <c r="N32" s="181" t="inlineStr">
        <is>
          <t>🎯 Studio Build</t>
        </is>
      </c>
    </row>
    <row r="33">
      <c r="B33" s="181" t="inlineStr">
        <is>
          <t>💰 5 Brand Deals</t>
        </is>
      </c>
      <c r="F33" s="181" t="inlineStr">
        <is>
          <t>💰 Agency Launch</t>
        </is>
      </c>
      <c r="J33" s="181" t="inlineStr">
        <is>
          <t>💰 $50K/month</t>
        </is>
      </c>
      <c r="N33" s="181" t="inlineStr">
        <is>
          <t>💰 $100K/month</t>
        </is>
      </c>
    </row>
  </sheetData>
  <mergeCells count="11">
    <mergeCell ref="L5:R5"/>
    <mergeCell ref="B5:J5"/>
    <mergeCell ref="B29:R29"/>
    <mergeCell ref="F30:H30"/>
    <mergeCell ref="B2:R2"/>
    <mergeCell ref="B17:J17"/>
    <mergeCell ref="B30:D30"/>
    <mergeCell ref="B3:R3"/>
    <mergeCell ref="L15:R15"/>
    <mergeCell ref="J30:L30"/>
    <mergeCell ref="N30:P30"/>
  </mergeCells>
  <conditionalFormatting sqref="F7:F14">
    <cfRule type="dataBar" priority="1">
      <dataBar showValue="1">
        <cfvo type="num" val="0"/>
        <cfvo type="num" val="1"/>
        <color rgb="0000E67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2026-01-04T00:53:41Z</dcterms:created>
  <dcterms:modified xmlns:dcterms="http://purl.org/dc/terms/" xmlns:xsi="http://www.w3.org/2001/XMLSchema-instance" xsi:type="dcterms:W3CDTF">2026-01-04T00:53:42Z</dcterms:modified>
</cp:coreProperties>
</file>