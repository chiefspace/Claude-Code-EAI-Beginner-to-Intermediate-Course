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HQ" sheetId="1" state="visible" r:id="rId1"/>
    <sheet xmlns:r="http://schemas.openxmlformats.org/officeDocument/2006/relationships" name="Content Deep Dive" sheetId="2" state="visible" r:id="rId2"/>
    <sheet xmlns:r="http://schemas.openxmlformats.org/officeDocument/2006/relationships" name="Audience Intel" sheetId="3" state="visible" r:id="rId3"/>
    <sheet xmlns:r="http://schemas.openxmlformats.org/officeDocument/2006/relationships" name="Growth Trajectory" sheetId="4" state="visible" r:id="rId4"/>
    <sheet xmlns:r="http://schemas.openxmlformats.org/officeDocument/2006/relationships" name="Mon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"/>
    <numFmt numFmtId="165" formatCode="0.0%"/>
    <numFmt numFmtId="166" formatCode="&quot;$&quot;#,##0"/>
    <numFmt numFmtId="167" formatCode="&quot;$&quot;0.0000"/>
    <numFmt numFmtId="168" formatCode="&quot;$&quot;0.00"/>
  </numFmts>
  <fonts count="78">
    <font>
      <name val="Calibri"/>
      <family val="2"/>
      <color theme="1"/>
      <sz val="11"/>
      <scheme val="minor"/>
    </font>
    <font>
      <b val="1"/>
      <color rgb="0000D4FF"/>
      <sz val="28"/>
    </font>
    <font>
      <color rgb="00888888"/>
      <sz val="10"/>
    </font>
    <font>
      <b val="1"/>
      <color rgb="00888888"/>
      <sz val="9"/>
    </font>
    <font>
      <b val="1"/>
      <color rgb="0000D4FF"/>
      <sz val="24"/>
    </font>
    <font>
      <b val="1"/>
      <color rgb="0000FF88"/>
      <sz val="11"/>
    </font>
    <font>
      <color rgb="00666666"/>
      <sz val="8"/>
    </font>
    <font>
      <b val="1"/>
      <color rgb="0000FF88"/>
      <sz val="24"/>
    </font>
    <font>
      <b val="1"/>
      <color rgb="00FF00FF"/>
      <sz val="24"/>
    </font>
    <font>
      <b val="1"/>
      <color rgb="00FF6600"/>
      <sz val="24"/>
    </font>
    <font>
      <b val="1"/>
      <color rgb="00FF00FF"/>
      <sz val="14"/>
    </font>
    <font>
      <b val="1"/>
      <color rgb="00FFFFFF"/>
      <sz val="9"/>
    </font>
    <font>
      <b val="1"/>
      <color rgb="00FF0000"/>
    </font>
    <font>
      <color rgb="00CCCCCC"/>
    </font>
    <font>
      <b val="1"/>
      <color rgb="0000FF88"/>
    </font>
    <font>
      <b val="1"/>
      <color rgb="0000F2EA"/>
    </font>
    <font>
      <b val="1"/>
      <color rgb="00E1306C"/>
    </font>
    <font>
      <b val="1"/>
      <color rgb="00FF6600"/>
    </font>
    <font>
      <b val="1"/>
      <color rgb="001DA1F2"/>
    </font>
    <font>
      <color rgb="00FF6B6B"/>
    </font>
    <font>
      <b val="1"/>
      <color rgb="000077B5"/>
    </font>
    <font>
      <b val="1"/>
      <color rgb="0000FF88"/>
      <sz val="12"/>
    </font>
    <font>
      <color rgb="00888888"/>
      <sz val="9"/>
    </font>
    <font>
      <color rgb="00666666"/>
      <sz val="9"/>
    </font>
    <font>
      <sz val="9"/>
    </font>
    <font>
      <color rgb="00FFFFFF"/>
      <sz val="9"/>
    </font>
    <font>
      <b val="1"/>
      <color rgb="00FF6600"/>
      <sz val="12"/>
    </font>
    <font>
      <b val="1"/>
      <color rgb="0000FF88"/>
      <sz val="14"/>
    </font>
    <font>
      <b val="1"/>
      <color rgb="0000FF88"/>
      <sz val="9"/>
    </font>
    <font>
      <b val="1"/>
      <color rgb="0000D4FF"/>
      <sz val="14"/>
    </font>
    <font>
      <b val="1"/>
      <color rgb="00FF6600"/>
      <sz val="14"/>
    </font>
    <font>
      <b val="1"/>
      <color rgb="0000D4FF"/>
      <sz val="9"/>
    </font>
    <font>
      <b val="1"/>
      <color rgb="00FFFFFF"/>
    </font>
    <font>
      <b val="1"/>
      <sz val="14"/>
    </font>
    <font>
      <color rgb="00FFFFFF"/>
    </font>
    <font>
      <color rgb="00888888"/>
    </font>
    <font>
      <color rgb="00FF6600"/>
      <sz val="8"/>
    </font>
    <font>
      <b val="1"/>
      <color rgb="009B59B6"/>
      <sz val="14"/>
    </font>
    <font>
      <b val="1"/>
      <color rgb="0000FF88"/>
      <sz val="10"/>
    </font>
    <font>
      <color rgb="00AAAAAA"/>
      <sz val="9"/>
    </font>
    <font>
      <b val="1"/>
      <color rgb="0000D4FF"/>
      <sz val="10"/>
    </font>
    <font>
      <b val="1"/>
      <color rgb="00FF00FF"/>
      <sz val="10"/>
    </font>
    <font>
      <b val="1"/>
      <color rgb="00FF6600"/>
      <sz val="10"/>
    </font>
    <font>
      <b val="1"/>
      <color rgb="0000D4FF"/>
      <sz val="12"/>
    </font>
    <font>
      <color rgb="00AAAAAA"/>
    </font>
    <font>
      <b val="1"/>
      <color rgb="007FBFEA"/>
    </font>
    <font>
      <b val="1"/>
      <color rgb="00178BDA"/>
    </font>
    <font>
      <b val="1"/>
      <color rgb="00075182"/>
    </font>
    <font>
      <b val="1"/>
      <color rgb="00AB47BC"/>
    </font>
    <font>
      <b val="1"/>
      <color rgb="007B1FA2"/>
    </font>
    <font>
      <b val="1"/>
      <color rgb="00F57C00"/>
    </font>
    <font>
      <b val="1"/>
      <color rgb="00FF9800"/>
    </font>
    <font>
      <b val="1"/>
      <color rgb="00FFA726"/>
    </font>
    <font>
      <b val="1"/>
      <color rgb="00FFB74D"/>
    </font>
    <font>
      <b val="1"/>
      <color rgb="00FFCC80"/>
    </font>
    <font>
      <b val="1"/>
      <color rgb="0066BB6A"/>
    </font>
    <font>
      <b val="1"/>
      <color rgb="004BA5E2"/>
    </font>
    <font>
      <b val="1"/>
      <color rgb="00FF00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9"/>
    </font>
    <font>
      <b val="1"/>
      <color rgb="009B59B6"/>
      <sz val="12"/>
    </font>
    <font>
      <b val="1"/>
      <color rgb="00AAAAAA"/>
      <sz val="9"/>
    </font>
    <font>
      <b val="1"/>
      <color rgb="004CAF50"/>
      <sz val="20"/>
    </font>
    <font>
      <color rgb="0000FF88"/>
      <sz val="9"/>
    </font>
    <font>
      <b val="1"/>
      <color rgb="0066BB6A"/>
      <sz val="20"/>
    </font>
    <font>
      <b val="1"/>
      <color rgb="00388E3C"/>
      <sz val="20"/>
    </font>
    <font>
      <b val="1"/>
      <color rgb="000A6EAE"/>
      <sz val="20"/>
    </font>
    <font>
      <b val="1"/>
      <color rgb="00178BDA"/>
      <sz val="20"/>
    </font>
    <font>
      <color rgb="00888888"/>
      <sz val="8"/>
    </font>
    <font>
      <color rgb="00888888"/>
      <sz val="7"/>
    </font>
    <font>
      <b val="1"/>
      <color rgb="009C27B0"/>
      <sz val="20"/>
    </font>
    <font>
      <b val="1"/>
      <color rgb="00FFD700"/>
      <sz val="24"/>
    </font>
    <font>
      <b val="1"/>
      <color rgb="00FFD700"/>
    </font>
    <font>
      <b val="1"/>
      <color rgb="00888888"/>
    </font>
    <font>
      <b val="1"/>
      <color rgb="0000FF88"/>
      <sz val="18"/>
    </font>
    <font>
      <b val="1"/>
      <color rgb="00CCCCCC"/>
    </font>
    <font>
      <b val="1"/>
      <color rgb="00FF6600"/>
      <sz val="9"/>
    </font>
  </fonts>
  <fills count="40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00D4FF"/>
        <bgColor rgb="0000D4FF"/>
      </patternFill>
    </fill>
    <fill>
      <patternFill patternType="solid">
        <fgColor rgb="00E8F4FC"/>
        <bgColor rgb="00E8F4FC"/>
      </patternFill>
    </fill>
    <fill>
      <patternFill patternType="solid">
        <fgColor rgb="00B3D9F2"/>
        <bgColor rgb="00B3D9F2"/>
      </patternFill>
    </fill>
    <fill>
      <patternFill patternType="solid">
        <fgColor rgb="007FBFEA"/>
        <bgColor rgb="007FBFEA"/>
      </patternFill>
    </fill>
    <fill>
      <patternFill patternType="solid">
        <fgColor rgb="004BA5E2"/>
        <bgColor rgb="004BA5E2"/>
      </patternFill>
    </fill>
    <fill>
      <patternFill patternType="solid">
        <fgColor rgb="00178BDA"/>
        <bgColor rgb="00178BDA"/>
      </patternFill>
    </fill>
    <fill>
      <patternFill patternType="solid">
        <fgColor rgb="000A6EAE"/>
        <bgColor rgb="000A6EAE"/>
      </patternFill>
    </fill>
    <fill>
      <patternFill patternType="solid">
        <fgColor rgb="00075182"/>
        <bgColor rgb="00075182"/>
      </patternFill>
    </fill>
    <fill>
      <patternFill patternType="solid">
        <fgColor rgb="00043656"/>
        <bgColor rgb="00043656"/>
      </patternFill>
    </fill>
    <fill>
      <patternFill patternType="solid">
        <fgColor rgb="002D2D2D"/>
        <bgColor rgb="002D2D2D"/>
      </patternFill>
    </fill>
    <fill>
      <patternFill patternType="solid">
        <fgColor rgb="0000FF88"/>
        <bgColor rgb="0000FF88"/>
      </patternFill>
    </fill>
    <fill>
      <patternFill patternType="solid">
        <fgColor rgb="00FF00FF"/>
        <bgColor rgb="00FF00FF"/>
      </patternFill>
    </fill>
    <fill>
      <patternFill patternType="solid">
        <fgColor rgb="00FF6600"/>
        <bgColor rgb="00FF6600"/>
      </patternFill>
    </fill>
    <fill>
      <patternFill patternType="solid">
        <fgColor rgb="009C27B0"/>
        <bgColor rgb="009C27B0"/>
      </patternFill>
    </fill>
    <fill>
      <patternFill patternType="solid">
        <fgColor rgb="001E1E1E"/>
        <bgColor rgb="001E1E1E"/>
      </patternFill>
    </fill>
    <fill>
      <patternFill patternType="solid">
        <fgColor rgb="00A5D6A7"/>
        <bgColor rgb="00A5D6A7"/>
      </patternFill>
    </fill>
    <fill>
      <patternFill patternType="solid">
        <fgColor rgb="0066BB6A"/>
        <bgColor rgb="0066BB6A"/>
      </patternFill>
    </fill>
    <fill>
      <patternFill patternType="solid">
        <fgColor rgb="00388E3C"/>
        <bgColor rgb="00388E3C"/>
      </patternFill>
    </fill>
    <fill>
      <patternFill patternType="solid">
        <fgColor rgb="004CAF50"/>
        <bgColor rgb="004CAF50"/>
      </patternFill>
    </fill>
    <fill>
      <patternFill patternType="solid">
        <fgColor rgb="00E91E63"/>
        <bgColor rgb="00E91E63"/>
      </patternFill>
    </fill>
    <fill>
      <patternFill patternType="solid">
        <fgColor rgb="00FF9800"/>
        <bgColor rgb="00FF9800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CC80"/>
        <bgColor rgb="00FFCC80"/>
      </patternFill>
    </fill>
    <fill>
      <patternFill patternType="solid">
        <fgColor rgb="00FFB74D"/>
        <bgColor rgb="00FFB74D"/>
      </patternFill>
    </fill>
    <fill>
      <patternFill patternType="solid">
        <fgColor rgb="00FFA726"/>
        <bgColor rgb="00FFA726"/>
      </patternFill>
    </fill>
    <fill>
      <patternFill patternType="solid">
        <fgColor rgb="00F57C00"/>
        <bgColor rgb="00F57C00"/>
      </patternFill>
    </fill>
    <fill>
      <patternFill patternType="solid">
        <fgColor rgb="00E65100"/>
        <bgColor rgb="00E65100"/>
      </patternFill>
    </fill>
    <fill>
      <patternFill patternType="solid">
        <fgColor rgb="00CE93D8"/>
        <bgColor rgb="00CE93D8"/>
      </patternFill>
    </fill>
    <fill>
      <patternFill patternType="solid">
        <fgColor rgb="00BA68C8"/>
        <bgColor rgb="00BA68C8"/>
      </patternFill>
    </fill>
    <fill>
      <patternFill patternType="solid">
        <fgColor rgb="00AB47BC"/>
        <bgColor rgb="00AB47BC"/>
      </patternFill>
    </fill>
    <fill>
      <patternFill patternType="solid">
        <fgColor rgb="007B1FA2"/>
        <bgColor rgb="007B1FA2"/>
      </patternFill>
    </fill>
    <fill>
      <patternFill patternType="solid">
        <fgColor rgb="004A148C"/>
        <bgColor rgb="004A148C"/>
      </patternFill>
    </fill>
    <fill>
      <patternFill patternType="solid">
        <fgColor rgb="00888888"/>
        <bgColor rgb="00888888"/>
      </patternFill>
    </fill>
    <fill>
      <patternFill patternType="solid">
        <fgColor rgb="00FF0000"/>
        <bgColor rgb="00FF0000"/>
      </patternFill>
    </fill>
    <fill>
      <patternFill patternType="solid">
        <fgColor rgb="009B59B6"/>
        <bgColor rgb="009B59B6"/>
      </patternFill>
    </fill>
  </fills>
  <borders count="7">
    <border>
      <left/>
      <right/>
      <top/>
      <bottom/>
      <diagonal/>
    </border>
    <border>
      <bottom style="medium">
        <color rgb="00FF00FF"/>
      </bottom>
    </border>
    <border>
      <left style="thick">
        <color rgb="00FF0000"/>
      </left>
    </border>
    <border>
      <left style="thick">
        <color rgb="0000F2EA"/>
      </left>
    </border>
    <border>
      <left style="thick">
        <color rgb="00E1306C"/>
      </left>
    </border>
    <border>
      <left style="thick">
        <color rgb="001DA1F2"/>
      </left>
    </border>
    <border>
      <left style="thick">
        <color rgb="000077B5"/>
      </left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  <xf numFmtId="0" fontId="12" fillId="17" borderId="2" pivotButton="0" quotePrefix="0" xfId="0"/>
    <xf numFmtId="3" fontId="13" fillId="17" borderId="0" applyAlignment="1" pivotButton="0" quotePrefix="0" xfId="0">
      <alignment horizontal="right"/>
    </xf>
    <xf numFmtId="164" fontId="13" fillId="17" borderId="0" applyAlignment="1" pivotButton="0" quotePrefix="0" xfId="0">
      <alignment horizontal="right"/>
    </xf>
    <xf numFmtId="165" fontId="13" fillId="17" borderId="0" applyAlignment="1" pivotButton="0" quotePrefix="0" xfId="0">
      <alignment horizontal="right"/>
    </xf>
    <xf numFmtId="166" fontId="13" fillId="17" borderId="0" applyAlignment="1" pivotButton="0" quotePrefix="0" xfId="0">
      <alignment horizontal="right"/>
    </xf>
    <xf numFmtId="1" fontId="14" fillId="17" borderId="0" applyAlignment="1" pivotButton="0" quotePrefix="0" xfId="0">
      <alignment horizontal="right"/>
    </xf>
    <xf numFmtId="0" fontId="15" fillId="17" borderId="3" pivotButton="0" quotePrefix="0" xfId="0"/>
    <xf numFmtId="0" fontId="16" fillId="17" borderId="4" pivotButton="0" quotePrefix="0" xfId="0"/>
    <xf numFmtId="1" fontId="17" fillId="17" borderId="0" applyAlignment="1" pivotButton="0" quotePrefix="0" xfId="0">
      <alignment horizontal="right"/>
    </xf>
    <xf numFmtId="0" fontId="18" fillId="17" borderId="5" pivotButton="0" quotePrefix="0" xfId="0"/>
    <xf numFmtId="1" fontId="19" fillId="17" borderId="0" applyAlignment="1" pivotButton="0" quotePrefix="0" xfId="0">
      <alignment horizontal="right"/>
    </xf>
    <xf numFmtId="0" fontId="20" fillId="17" borderId="6" pivotButton="0" quotePrefix="0" xfId="0"/>
    <xf numFmtId="0" fontId="26" fillId="2" borderId="0" pivotButton="0" quotePrefix="0" xfId="0"/>
    <xf numFmtId="0" fontId="21" fillId="2" borderId="0" pivotButton="0" quotePrefix="0" xfId="0"/>
    <xf numFmtId="0" fontId="2" fillId="17" borderId="0" pivotButton="0" quotePrefix="0" xfId="0"/>
    <xf numFmtId="3" fontId="27" fillId="17" borderId="0" pivotButton="0" quotePrefix="0" xfId="0"/>
    <xf numFmtId="0" fontId="28" fillId="17" borderId="0" pivotButton="0" quotePrefix="0" xfId="0"/>
    <xf numFmtId="0" fontId="3" fillId="2" borderId="0" applyAlignment="1" pivotButton="0" quotePrefix="0" xfId="0">
      <alignment horizontal="center"/>
    </xf>
    <xf numFmtId="3" fontId="29" fillId="17" borderId="0" pivotButton="0" quotePrefix="0" xfId="0"/>
    <xf numFmtId="0" fontId="22" fillId="2" borderId="0" pivotButton="0" quotePrefix="0" xfId="0"/>
    <xf numFmtId="0" fontId="23" fillId="4" borderId="0" applyAlignment="1" pivotButton="0" quotePrefix="0" xfId="0">
      <alignment horizontal="center"/>
    </xf>
    <xf numFmtId="0" fontId="24" fillId="6" borderId="0" applyAlignment="1" pivotButton="0" quotePrefix="0" xfId="0">
      <alignment horizontal="center"/>
    </xf>
    <xf numFmtId="0" fontId="24" fillId="18" borderId="0" applyAlignment="1" pivotButton="0" quotePrefix="0" xfId="0">
      <alignment horizontal="center"/>
    </xf>
    <xf numFmtId="3" fontId="10" fillId="17" borderId="0" pivotButton="0" quotePrefix="0" xfId="0"/>
    <xf numFmtId="167" fontId="30" fillId="17" borderId="0" pivotButton="0" quotePrefix="0" xfId="0"/>
    <xf numFmtId="0" fontId="25" fillId="19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29" fillId="2" borderId="0" pivotButton="0" quotePrefix="0" xfId="0"/>
    <xf numFmtId="0" fontId="27" fillId="2" borderId="0" pivotButton="0" quotePrefix="0" xfId="0"/>
    <xf numFmtId="0" fontId="31" fillId="17" borderId="0" applyAlignment="1" pivotButton="0" quotePrefix="0" xfId="0">
      <alignment horizontal="center"/>
    </xf>
    <xf numFmtId="0" fontId="32" fillId="9" borderId="0" applyAlignment="1" pivotButton="0" quotePrefix="0" xfId="0">
      <alignment horizontal="center"/>
    </xf>
    <xf numFmtId="1" fontId="13" fillId="17" borderId="0" applyAlignment="1" pivotButton="0" quotePrefix="0" xfId="0">
      <alignment horizontal="center"/>
    </xf>
    <xf numFmtId="3" fontId="13" fillId="17" borderId="0" applyAlignment="1" pivotButton="0" quotePrefix="0" xfId="0">
      <alignment horizontal="center"/>
    </xf>
    <xf numFmtId="165" fontId="13" fillId="17" borderId="0" applyAlignment="1" pivotButton="0" quotePrefix="0" xfId="0">
      <alignment horizontal="center"/>
    </xf>
    <xf numFmtId="9" fontId="13" fillId="17" borderId="0" applyAlignment="1" pivotButton="0" quotePrefix="0" xfId="0">
      <alignment horizontal="center"/>
    </xf>
    <xf numFmtId="166" fontId="13" fillId="17" borderId="0" applyAlignment="1" pivotButton="0" quotePrefix="0" xfId="0">
      <alignment horizontal="center"/>
    </xf>
    <xf numFmtId="1" fontId="14" fillId="17" borderId="0" pivotButton="0" quotePrefix="0" xfId="0"/>
    <xf numFmtId="0" fontId="33" fillId="24" borderId="0" applyAlignment="1" pivotButton="0" quotePrefix="0" xfId="0">
      <alignment horizontal="center"/>
    </xf>
    <xf numFmtId="0" fontId="34" fillId="17" borderId="0" pivotButton="0" quotePrefix="0" xfId="0"/>
    <xf numFmtId="3" fontId="13" fillId="17" borderId="0" pivotButton="0" quotePrefix="0" xfId="0"/>
    <xf numFmtId="165" fontId="13" fillId="17" borderId="0" pivotButton="0" quotePrefix="0" xfId="0"/>
    <xf numFmtId="166" fontId="13" fillId="17" borderId="0" pivotButton="0" quotePrefix="0" xfId="0"/>
    <xf numFmtId="0" fontId="32" fillId="21" borderId="0" applyAlignment="1" pivotButton="0" quotePrefix="0" xfId="0">
      <alignment horizontal="center"/>
    </xf>
    <xf numFmtId="0" fontId="33" fillId="25" borderId="0" applyAlignment="1" pivotButton="0" quotePrefix="0" xfId="0">
      <alignment horizontal="center"/>
    </xf>
    <xf numFmtId="0" fontId="32" fillId="22" borderId="0" applyAlignment="1" pivotButton="0" quotePrefix="0" xfId="0">
      <alignment horizontal="center"/>
    </xf>
    <xf numFmtId="0" fontId="33" fillId="26" borderId="0" applyAlignment="1" pivotButton="0" quotePrefix="0" xfId="0">
      <alignment horizontal="center"/>
    </xf>
    <xf numFmtId="0" fontId="32" fillId="16" borderId="0" applyAlignment="1" pivotButton="0" quotePrefix="0" xfId="0">
      <alignment horizontal="center"/>
    </xf>
    <xf numFmtId="0" fontId="35" fillId="17" borderId="0" applyAlignment="1" pivotButton="0" quotePrefix="0" xfId="0">
      <alignment horizontal="center"/>
    </xf>
    <xf numFmtId="0" fontId="32" fillId="23" borderId="0" applyAlignment="1" pivotButton="0" quotePrefix="0" xfId="0">
      <alignment horizontal="center"/>
    </xf>
    <xf numFmtId="0" fontId="30" fillId="2" borderId="0" pivotButton="0" quotePrefix="0" xfId="0"/>
    <xf numFmtId="0" fontId="0" fillId="17" borderId="0" pivotButton="0" quotePrefix="0" xfId="0"/>
    <xf numFmtId="0" fontId="0" fillId="31" borderId="0" pivotButton="0" quotePrefix="0" xfId="0"/>
    <xf numFmtId="0" fontId="0" fillId="30" borderId="0" pivotButton="0" quotePrefix="0" xfId="0"/>
    <xf numFmtId="0" fontId="0" fillId="23" borderId="0" pivotButton="0" quotePrefix="0" xfId="0"/>
    <xf numFmtId="0" fontId="0" fillId="29" borderId="0" pivotButton="0" quotePrefix="0" xfId="0"/>
    <xf numFmtId="0" fontId="0" fillId="28" borderId="0" pivotButton="0" quotePrefix="0" xfId="0"/>
    <xf numFmtId="0" fontId="0" fillId="27" borderId="0" pivotButton="0" quotePrefix="0" xfId="0"/>
    <xf numFmtId="0" fontId="22" fillId="2" borderId="0" applyAlignment="1" pivotButton="0" quotePrefix="0" xfId="0">
      <alignment horizontal="center"/>
    </xf>
    <xf numFmtId="3" fontId="36" fillId="2" borderId="0" applyAlignment="1" pivotButton="0" quotePrefix="0" xfId="0">
      <alignment horizontal="center"/>
    </xf>
    <xf numFmtId="0" fontId="37" fillId="2" borderId="0" pivotButton="0" quotePrefix="0" xfId="0"/>
    <xf numFmtId="0" fontId="6" fillId="2" borderId="0" pivotButton="0" quotePrefix="0" xfId="0"/>
    <xf numFmtId="0" fontId="0" fillId="36" borderId="0" pivotButton="0" quotePrefix="0" xfId="0"/>
    <xf numFmtId="0" fontId="0" fillId="35" borderId="0" pivotButton="0" quotePrefix="0" xfId="0"/>
    <xf numFmtId="0" fontId="0" fillId="16" borderId="0" pivotButton="0" quotePrefix="0" xfId="0"/>
    <xf numFmtId="0" fontId="0" fillId="34" borderId="0" pivotButton="0" quotePrefix="0" xfId="0"/>
    <xf numFmtId="0" fontId="0" fillId="33" borderId="0" pivotButton="0" quotePrefix="0" xfId="0"/>
    <xf numFmtId="0" fontId="0" fillId="32" borderId="0" pivotButton="0" quotePrefix="0" xfId="0"/>
    <xf numFmtId="0" fontId="38" fillId="12" borderId="0" applyAlignment="1" pivotButton="0" quotePrefix="0" xfId="0">
      <alignment horizontal="center"/>
    </xf>
    <xf numFmtId="0" fontId="40" fillId="12" borderId="0" applyAlignment="1" pivotButton="0" quotePrefix="0" xfId="0">
      <alignment horizontal="center"/>
    </xf>
    <xf numFmtId="0" fontId="41" fillId="12" borderId="0" applyAlignment="1" pivotButton="0" quotePrefix="0" xfId="0">
      <alignment horizontal="center"/>
    </xf>
    <xf numFmtId="0" fontId="42" fillId="12" borderId="0" applyAlignment="1" pivotButton="0" quotePrefix="0" xfId="0">
      <alignment horizontal="center"/>
    </xf>
    <xf numFmtId="0" fontId="39" fillId="12" borderId="0" applyAlignment="1" pivotButton="0" quotePrefix="0" xfId="0">
      <alignment horizontal="center" wrapText="1"/>
    </xf>
    <xf numFmtId="0" fontId="7" fillId="2" borderId="0" applyAlignment="1" pivotButton="0" quotePrefix="0" xfId="0">
      <alignment horizontal="center"/>
    </xf>
    <xf numFmtId="0" fontId="43" fillId="2" borderId="0" pivotButton="0" quotePrefix="0" xfId="0"/>
    <xf numFmtId="0" fontId="44" fillId="17" borderId="0" pivotButton="0" quotePrefix="0" xfId="0"/>
    <xf numFmtId="9" fontId="45" fillId="17" borderId="0" pivotButton="0" quotePrefix="0" xfId="0"/>
    <xf numFmtId="0" fontId="34" fillId="30" borderId="0" pivotButton="0" quotePrefix="0" xfId="0"/>
    <xf numFmtId="9" fontId="50" fillId="17" borderId="0" pivotButton="0" quotePrefix="0" xfId="0"/>
    <xf numFmtId="9" fontId="46" fillId="17" borderId="0" pivotButton="0" quotePrefix="0" xfId="0"/>
    <xf numFmtId="0" fontId="34" fillId="23" borderId="0" pivotButton="0" quotePrefix="0" xfId="0"/>
    <xf numFmtId="9" fontId="51" fillId="17" borderId="0" pivotButton="0" quotePrefix="0" xfId="0"/>
    <xf numFmtId="9" fontId="47" fillId="17" borderId="0" pivotButton="0" quotePrefix="0" xfId="0"/>
    <xf numFmtId="0" fontId="34" fillId="29" borderId="0" pivotButton="0" quotePrefix="0" xfId="0"/>
    <xf numFmtId="9" fontId="52" fillId="17" borderId="0" pivotButton="0" quotePrefix="0" xfId="0"/>
    <xf numFmtId="9" fontId="48" fillId="17" borderId="0" pivotButton="0" quotePrefix="0" xfId="0"/>
    <xf numFmtId="0" fontId="34" fillId="28" borderId="0" pivotButton="0" quotePrefix="0" xfId="0"/>
    <xf numFmtId="9" fontId="53" fillId="17" borderId="0" pivotButton="0" quotePrefix="0" xfId="0"/>
    <xf numFmtId="9" fontId="49" fillId="17" borderId="0" pivotButton="0" quotePrefix="0" xfId="0"/>
    <xf numFmtId="0" fontId="34" fillId="27" borderId="0" pivotButton="0" quotePrefix="0" xfId="0"/>
    <xf numFmtId="9" fontId="54" fillId="17" borderId="0" pivotButton="0" quotePrefix="0" xfId="0"/>
    <xf numFmtId="0" fontId="34" fillId="19" borderId="0" pivotButton="0" quotePrefix="0" xfId="0"/>
    <xf numFmtId="0" fontId="0" fillId="19" borderId="0" pivotButton="0" quotePrefix="0" xfId="0"/>
    <xf numFmtId="9" fontId="55" fillId="17" borderId="0" pivotButton="0" quotePrefix="0" xfId="0"/>
    <xf numFmtId="0" fontId="34" fillId="7" borderId="0" pivotButton="0" quotePrefix="0" xfId="0"/>
    <xf numFmtId="9" fontId="56" fillId="17" borderId="0" pivotButton="0" quotePrefix="0" xfId="0"/>
    <xf numFmtId="0" fontId="57" fillId="2" borderId="0" pivotButton="0" quotePrefix="0" xfId="0"/>
    <xf numFmtId="0" fontId="58" fillId="24" borderId="0" applyAlignment="1" pivotButton="0" quotePrefix="0" xfId="0">
      <alignment horizontal="center"/>
    </xf>
    <xf numFmtId="0" fontId="25" fillId="24" borderId="0" applyAlignment="1" pivotButton="0" quotePrefix="0" xfId="0">
      <alignment horizontal="center"/>
    </xf>
    <xf numFmtId="0" fontId="58" fillId="13" borderId="0" applyAlignment="1" pivotButton="0" quotePrefix="0" xfId="0">
      <alignment horizontal="center"/>
    </xf>
    <xf numFmtId="0" fontId="25" fillId="13" borderId="0" applyAlignment="1" pivotButton="0" quotePrefix="0" xfId="0">
      <alignment horizontal="center"/>
    </xf>
    <xf numFmtId="0" fontId="58" fillId="3" borderId="0" applyAlignment="1" pivotButton="0" quotePrefix="0" xfId="0">
      <alignment horizontal="center"/>
    </xf>
    <xf numFmtId="0" fontId="25" fillId="3" borderId="0" applyAlignment="1" pivotButton="0" quotePrefix="0" xfId="0">
      <alignment horizontal="center"/>
    </xf>
    <xf numFmtId="0" fontId="59" fillId="37" borderId="0" applyAlignment="1" pivotButton="0" quotePrefix="0" xfId="0">
      <alignment horizontal="center"/>
    </xf>
    <xf numFmtId="0" fontId="60" fillId="37" borderId="0" applyAlignment="1" pivotButton="0" quotePrefix="0" xfId="0">
      <alignment horizontal="center"/>
    </xf>
    <xf numFmtId="0" fontId="61" fillId="2" borderId="0" pivotButton="0" quotePrefix="0" xfId="0"/>
    <xf numFmtId="0" fontId="0" fillId="21" borderId="0" pivotButton="0" quotePrefix="0" xfId="0"/>
    <xf numFmtId="0" fontId="0" fillId="20" borderId="0" pivotButton="0" quotePrefix="0" xfId="0"/>
    <xf numFmtId="0" fontId="62" fillId="12" borderId="0" applyAlignment="1" pivotButton="0" quotePrefix="0" xfId="0">
      <alignment horizontal="center"/>
    </xf>
    <xf numFmtId="165" fontId="63" fillId="12" borderId="0" applyAlignment="1" pivotButton="0" quotePrefix="0" xfId="0">
      <alignment horizontal="center" vertical="center"/>
    </xf>
    <xf numFmtId="165" fontId="65" fillId="12" borderId="0" applyAlignment="1" pivotButton="0" quotePrefix="0" xfId="0">
      <alignment horizontal="center" vertical="center"/>
    </xf>
    <xf numFmtId="165" fontId="66" fillId="12" borderId="0" applyAlignment="1" pivotButton="0" quotePrefix="0" xfId="0">
      <alignment horizontal="center" vertical="center"/>
    </xf>
    <xf numFmtId="165" fontId="67" fillId="12" borderId="0" applyAlignment="1" pivotButton="0" quotePrefix="0" xfId="0">
      <alignment horizontal="center" vertical="center"/>
    </xf>
    <xf numFmtId="165" fontId="68" fillId="12" borderId="0" applyAlignment="1" pivotButton="0" quotePrefix="0" xfId="0">
      <alignment horizontal="center" vertical="center"/>
    </xf>
    <xf numFmtId="0" fontId="64" fillId="12" borderId="0" applyAlignment="1" pivotButton="0" quotePrefix="0" xfId="0">
      <alignment horizontal="center"/>
    </xf>
    <xf numFmtId="0" fontId="0" fillId="12" borderId="0" pivotButton="0" quotePrefix="0" xfId="0"/>
    <xf numFmtId="0" fontId="9" fillId="2" borderId="0" applyAlignment="1" pivotButton="0" quotePrefix="0" xfId="0">
      <alignment horizontal="center"/>
    </xf>
    <xf numFmtId="0" fontId="69" fillId="2" borderId="0" applyAlignment="1" pivotButton="0" quotePrefix="0" xfId="0">
      <alignment horizontal="center"/>
    </xf>
    <xf numFmtId="3" fontId="70" fillId="2" borderId="0" applyAlignment="1" pivotButton="0" quotePrefix="0" xfId="0">
      <alignment horizontal="center" textRotation="45"/>
    </xf>
    <xf numFmtId="0" fontId="22" fillId="12" borderId="0" applyAlignment="1" pivotButton="0" quotePrefix="0" xfId="0">
      <alignment horizontal="center"/>
    </xf>
    <xf numFmtId="0" fontId="63" fillId="12" borderId="0" applyAlignment="1" pivotButton="0" quotePrefix="0" xfId="0">
      <alignment horizontal="center" vertical="center"/>
    </xf>
    <xf numFmtId="0" fontId="66" fillId="12" borderId="0" applyAlignment="1" pivotButton="0" quotePrefix="0" xfId="0">
      <alignment horizontal="center" vertical="center"/>
    </xf>
    <xf numFmtId="0" fontId="67" fillId="12" borderId="0" applyAlignment="1" pivotButton="0" quotePrefix="0" xfId="0">
      <alignment horizontal="center" vertical="center"/>
    </xf>
    <xf numFmtId="0" fontId="71" fillId="12" borderId="0" applyAlignment="1" pivotButton="0" quotePrefix="0" xfId="0">
      <alignment horizontal="center" vertical="center"/>
    </xf>
    <xf numFmtId="0" fontId="0" fillId="24" borderId="0" pivotButton="0" quotePrefix="0" xfId="0"/>
    <xf numFmtId="0" fontId="72" fillId="2" borderId="0" applyAlignment="1" pivotButton="0" quotePrefix="0" xfId="0">
      <alignment horizontal="center"/>
    </xf>
    <xf numFmtId="0" fontId="13" fillId="17" borderId="0" pivotButton="0" quotePrefix="0" xfId="0"/>
    <xf numFmtId="168" fontId="14" fillId="17" borderId="0" pivotButton="0" quotePrefix="0" xfId="0"/>
    <xf numFmtId="3" fontId="35" fillId="17" borderId="0" pivotButton="0" quotePrefix="0" xfId="0"/>
    <xf numFmtId="166" fontId="73" fillId="17" borderId="0" pivotButton="0" quotePrefix="0" xfId="0"/>
    <xf numFmtId="166" fontId="35" fillId="17" borderId="0" pivotButton="0" quotePrefix="0" xfId="0"/>
    <xf numFmtId="166" fontId="14" fillId="17" borderId="0" pivotButton="0" quotePrefix="0" xfId="0"/>
    <xf numFmtId="0" fontId="74" fillId="2" borderId="0" pivotButton="0" quotePrefix="0" xfId="0"/>
    <xf numFmtId="168" fontId="75" fillId="2" borderId="0" pivotButton="0" quotePrefix="0" xfId="0"/>
    <xf numFmtId="0" fontId="0" fillId="38" borderId="0" pivotButton="0" quotePrefix="0" xfId="0"/>
    <xf numFmtId="0" fontId="76" fillId="12" borderId="0" pivotButton="0" quotePrefix="0" xfId="0"/>
    <xf numFmtId="0" fontId="22" fillId="12" borderId="0" pivotButton="0" quotePrefix="0" xfId="0"/>
    <xf numFmtId="0" fontId="28" fillId="12" borderId="0" pivotButton="0" quotePrefix="0" xfId="0"/>
    <xf numFmtId="0" fontId="77" fillId="12" borderId="0" pivotButton="0" quotePrefix="0" xfId="0"/>
    <xf numFmtId="0" fontId="39" fillId="2" borderId="0" pivotButton="0" quotePrefix="0" xfId="0"/>
    <xf numFmtId="0" fontId="0" fillId="3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4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1" t="n"/>
      <c r="X2" s="1" t="n"/>
    </row>
    <row r="3" ht="45" customHeight="1">
      <c r="A3" s="1" t="n"/>
      <c r="B3" s="3" t="inlineStr">
        <is>
          <t>CREATOR ANALYTICS STUDIO</t>
        </is>
      </c>
      <c r="W3" s="1" t="n"/>
      <c r="X3" s="1" t="n"/>
    </row>
    <row r="4">
      <c r="A4" s="1" t="n"/>
      <c r="B4" s="4" t="inlineStr">
        <is>
          <t>Real-Time Performance Monitoring | Deep Insights | Data-Driven Growth</t>
        </is>
      </c>
      <c r="W4" s="1" t="n"/>
      <c r="X4" s="1" t="n"/>
    </row>
    <row r="5" ht="6" customHeight="1">
      <c r="A5" s="1" t="n"/>
      <c r="B5" s="5" t="n"/>
      <c r="C5" s="5" t="n"/>
      <c r="D5" s="5" t="n"/>
      <c r="E5" s="6" t="n"/>
      <c r="F5" s="6" t="n"/>
      <c r="G5" s="6" t="n"/>
      <c r="H5" s="7" t="n"/>
      <c r="I5" s="7" t="n"/>
      <c r="J5" s="8" t="n"/>
      <c r="K5" s="8" t="n"/>
      <c r="L5" s="8" t="n"/>
      <c r="M5" s="9" t="n"/>
      <c r="N5" s="9" t="n"/>
      <c r="O5" s="9" t="n"/>
      <c r="P5" s="10" t="n"/>
      <c r="Q5" s="10" t="n"/>
      <c r="R5" s="11" t="n"/>
      <c r="S5" s="11" t="n"/>
      <c r="T5" s="11" t="n"/>
      <c r="U5" s="12" t="n"/>
      <c r="V5" s="12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/>
      <c r="B7" s="2" t="n"/>
      <c r="C7" s="2" t="n"/>
      <c r="D7" s="2" t="n"/>
      <c r="E7" s="2" t="n"/>
      <c r="F7" s="1" t="n"/>
      <c r="G7" s="13" t="n"/>
      <c r="H7" s="13" t="n"/>
      <c r="I7" s="13" t="n"/>
      <c r="J7" s="13" t="n"/>
      <c r="K7" s="1" t="n"/>
      <c r="L7" s="14" t="n"/>
      <c r="M7" s="14" t="n"/>
      <c r="N7" s="14" t="n"/>
      <c r="O7" s="14" t="n"/>
      <c r="P7" s="1" t="n"/>
      <c r="Q7" s="15" t="n"/>
      <c r="R7" s="15" t="n"/>
      <c r="S7" s="15" t="n"/>
      <c r="T7" s="15" t="n"/>
      <c r="U7" s="1" t="n"/>
      <c r="V7" s="1" t="n"/>
      <c r="W7" s="1" t="n"/>
      <c r="X7" s="1" t="n"/>
    </row>
    <row r="8">
      <c r="A8" s="1" t="n"/>
      <c r="B8" s="16" t="inlineStr">
        <is>
          <t>TOTAL VIEWS</t>
        </is>
      </c>
      <c r="F8" s="1" t="n"/>
      <c r="G8" s="16" t="inlineStr">
        <is>
          <t>SUBSCRIBERS</t>
        </is>
      </c>
      <c r="K8" s="1" t="n"/>
      <c r="L8" s="16" t="inlineStr">
        <is>
          <t>WATCH TIME</t>
        </is>
      </c>
      <c r="P8" s="1" t="n"/>
      <c r="Q8" s="16" t="inlineStr">
        <is>
          <t>REVENUE</t>
        </is>
      </c>
      <c r="U8" s="1" t="n"/>
      <c r="V8" s="1" t="n"/>
      <c r="W8" s="1" t="n"/>
      <c r="X8" s="1" t="n"/>
    </row>
    <row r="9">
      <c r="A9" s="1" t="n"/>
      <c r="B9" s="17" t="inlineStr">
        <is>
          <t>1.2M</t>
        </is>
      </c>
      <c r="F9" s="1" t="n"/>
      <c r="G9" s="18" t="inlineStr">
        <is>
          <t>127.5K</t>
        </is>
      </c>
      <c r="K9" s="1" t="n"/>
      <c r="L9" s="19" t="inlineStr">
        <is>
          <t>85.2K hrs</t>
        </is>
      </c>
      <c r="P9" s="1" t="n"/>
      <c r="Q9" s="20" t="inlineStr">
        <is>
          <t>$12,850</t>
        </is>
      </c>
      <c r="U9" s="1" t="n"/>
      <c r="V9" s="1" t="n"/>
      <c r="W9" s="1" t="n"/>
      <c r="X9" s="1" t="n"/>
    </row>
    <row r="10">
      <c r="A10" s="1" t="n"/>
      <c r="F10" s="1" t="n"/>
      <c r="K10" s="1" t="n"/>
      <c r="P10" s="1" t="n"/>
      <c r="U10" s="1" t="n"/>
      <c r="V10" s="1" t="n"/>
      <c r="W10" s="1" t="n"/>
      <c r="X10" s="1" t="n"/>
    </row>
    <row r="11">
      <c r="A11" s="1" t="n"/>
      <c r="B11" s="21" t="inlineStr">
        <is>
          <t>+12.5%</t>
        </is>
      </c>
      <c r="F11" s="1" t="n"/>
      <c r="G11" s="21" t="inlineStr">
        <is>
          <t>+4.8K</t>
        </is>
      </c>
      <c r="K11" s="1" t="n"/>
      <c r="L11" s="21" t="inlineStr">
        <is>
          <t>+18.2%</t>
        </is>
      </c>
      <c r="P11" s="1" t="n"/>
      <c r="Q11" s="21" t="inlineStr">
        <is>
          <t>+22.1%</t>
        </is>
      </c>
      <c r="U11" s="1" t="n"/>
      <c r="V11" s="1" t="n"/>
      <c r="W11" s="1" t="n"/>
      <c r="X11" s="1" t="n"/>
    </row>
    <row r="12">
      <c r="A12" s="1" t="n"/>
      <c r="B12" s="22" t="inlineStr">
        <is>
          <t>Last 28 days</t>
        </is>
      </c>
      <c r="F12" s="1" t="n"/>
      <c r="G12" s="22" t="inlineStr">
        <is>
          <t>Total</t>
        </is>
      </c>
      <c r="K12" s="1" t="n"/>
      <c r="L12" s="22" t="inlineStr">
        <is>
          <t>Last 28 days</t>
        </is>
      </c>
      <c r="P12" s="1" t="n"/>
      <c r="Q12" s="22" t="inlineStr">
        <is>
          <t>This month</t>
        </is>
      </c>
      <c r="U12" s="1" t="n"/>
      <c r="V12" s="1" t="n"/>
      <c r="W12" s="1" t="n"/>
      <c r="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23" t="inlineStr">
        <is>
          <t>PLATFORM PERFORMANCE MATRIX</t>
        </is>
      </c>
      <c r="W15" s="1" t="n"/>
      <c r="X15" s="1" t="n"/>
    </row>
    <row r="16">
      <c r="A16" s="1" t="n"/>
      <c r="B16" s="24" t="inlineStr">
        <is>
          <t>Platform</t>
        </is>
      </c>
      <c r="C16" s="24" t="inlineStr">
        <is>
          <t>Followers</t>
        </is>
      </c>
      <c r="D16" s="24" t="inlineStr">
        <is>
          <t>Growth</t>
        </is>
      </c>
      <c r="E16" s="24" t="inlineStr">
        <is>
          <t>Engagement</t>
        </is>
      </c>
      <c r="F16" s="24" t="inlineStr">
        <is>
          <t>Reach</t>
        </is>
      </c>
      <c r="G16" s="24" t="inlineStr">
        <is>
          <t>Views</t>
        </is>
      </c>
      <c r="H16" s="24" t="inlineStr">
        <is>
          <t>Revenue</t>
        </is>
      </c>
      <c r="I16" s="24" t="inlineStr">
        <is>
          <t>Score</t>
        </is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25" t="inlineStr">
        <is>
          <t>YouTube</t>
        </is>
      </c>
      <c r="C17" s="26" t="n">
        <v>127500</v>
      </c>
      <c r="D17" s="27" t="n">
        <v>0.038</v>
      </c>
      <c r="E17" s="28" t="n">
        <v>0.065</v>
      </c>
      <c r="F17" s="26" t="n">
        <v>450000</v>
      </c>
      <c r="G17" s="26" t="n">
        <v>1200000</v>
      </c>
      <c r="H17" s="29" t="n">
        <v>5800</v>
      </c>
      <c r="I17" s="30" t="n">
        <v>92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31" t="inlineStr">
        <is>
          <t>TikTok</t>
        </is>
      </c>
      <c r="C18" s="26" t="n">
        <v>285000</v>
      </c>
      <c r="D18" s="27" t="n">
        <v>0.082</v>
      </c>
      <c r="E18" s="28" t="n">
        <v>0.095</v>
      </c>
      <c r="F18" s="26" t="n">
        <v>850000</v>
      </c>
      <c r="G18" s="26" t="n">
        <v>3500000</v>
      </c>
      <c r="H18" s="29" t="n">
        <v>1200</v>
      </c>
      <c r="I18" s="30" t="n">
        <v>88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32" t="inlineStr">
        <is>
          <t>Instagram</t>
        </is>
      </c>
      <c r="C19" s="26" t="n">
        <v>95000</v>
      </c>
      <c r="D19" s="27" t="n">
        <v>0.025</v>
      </c>
      <c r="E19" s="28" t="n">
        <v>0.078</v>
      </c>
      <c r="F19" s="26" t="n">
        <v>180000</v>
      </c>
      <c r="G19" s="26" t="n">
        <v>320000</v>
      </c>
      <c r="H19" s="29" t="n">
        <v>1500</v>
      </c>
      <c r="I19" s="33" t="n">
        <v>75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34" t="inlineStr">
        <is>
          <t>Twitter/X</t>
        </is>
      </c>
      <c r="C20" s="26" t="n">
        <v>42000</v>
      </c>
      <c r="D20" s="27" t="n">
        <v>0.018</v>
      </c>
      <c r="E20" s="28" t="n">
        <v>0.042</v>
      </c>
      <c r="F20" s="26" t="n">
        <v>125000</v>
      </c>
      <c r="G20" s="26" t="n">
        <v>280000</v>
      </c>
      <c r="H20" s="29" t="n">
        <v>350</v>
      </c>
      <c r="I20" s="35" t="n">
        <v>62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36" t="inlineStr">
        <is>
          <t>LinkedIn</t>
        </is>
      </c>
      <c r="C21" s="26" t="n">
        <v>18500</v>
      </c>
      <c r="D21" s="27" t="n">
        <v>0.045</v>
      </c>
      <c r="E21" s="28" t="n">
        <v>0.08799999999999999</v>
      </c>
      <c r="F21" s="26" t="n">
        <v>45000</v>
      </c>
      <c r="G21" s="26" t="n">
        <v>85000</v>
      </c>
      <c r="H21" s="29" t="n">
        <v>800</v>
      </c>
      <c r="I21" s="33" t="n">
        <v>70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37" t="inlineStr">
        <is>
          <t>GROWTH VELOCITY</t>
        </is>
      </c>
      <c r="J23" s="1" t="n"/>
      <c r="K23" s="38" t="inlineStr">
        <is>
          <t>WEEKLY ENGAGEMENT HEATMAP</t>
        </is>
      </c>
      <c r="W23" s="1" t="n"/>
      <c r="X23" s="1" t="n"/>
    </row>
    <row r="24">
      <c r="A24" s="1" t="n"/>
      <c r="B24" s="39" t="inlineStr">
        <is>
          <t>Subs/Day</t>
        </is>
      </c>
      <c r="D24" s="40" t="n">
        <v>172</v>
      </c>
      <c r="G24" s="41" t="inlineStr">
        <is>
          <t>^ +15%</t>
        </is>
      </c>
      <c r="H24" s="1" t="n"/>
      <c r="I24" s="1" t="n"/>
      <c r="J24" s="1" t="n"/>
      <c r="K24" s="1" t="n"/>
      <c r="L24" s="42" t="inlineStr">
        <is>
          <t>Mon</t>
        </is>
      </c>
      <c r="M24" s="42" t="inlineStr">
        <is>
          <t>Tue</t>
        </is>
      </c>
      <c r="N24" s="42" t="inlineStr">
        <is>
          <t>Wed</t>
        </is>
      </c>
      <c r="O24" s="42" t="inlineStr">
        <is>
          <t>Thu</t>
        </is>
      </c>
      <c r="P24" s="42" t="inlineStr">
        <is>
          <t>Fri</t>
        </is>
      </c>
      <c r="Q24" s="42" t="inlineStr">
        <is>
          <t>Sat</t>
        </is>
      </c>
      <c r="R24" s="42" t="inlineStr">
        <is>
          <t>Sun</t>
        </is>
      </c>
      <c r="S24" s="1" t="n"/>
      <c r="T24" s="1" t="n"/>
      <c r="U24" s="1" t="n"/>
      <c r="V24" s="1" t="n"/>
      <c r="W24" s="1" t="n"/>
      <c r="X24" s="1" t="n"/>
    </row>
    <row r="25">
      <c r="A25" s="1" t="n"/>
      <c r="B25" s="39" t="inlineStr">
        <is>
          <t>Views/Hour</t>
        </is>
      </c>
      <c r="D25" s="43" t="n">
        <v>1850</v>
      </c>
      <c r="G25" s="41" t="inlineStr">
        <is>
          <t>^ +15%</t>
        </is>
      </c>
      <c r="H25" s="1" t="n"/>
      <c r="I25" s="1" t="n"/>
      <c r="J25" s="1" t="n"/>
      <c r="K25" s="44" t="inlineStr">
        <is>
          <t>6AM</t>
        </is>
      </c>
      <c r="L25" s="45" t="n">
        <v>25</v>
      </c>
      <c r="M25" s="45" t="n">
        <v>32</v>
      </c>
      <c r="N25" s="45" t="n">
        <v>28</v>
      </c>
      <c r="O25" s="45" t="n">
        <v>35</v>
      </c>
      <c r="P25" s="46" t="n">
        <v>42</v>
      </c>
      <c r="Q25" s="47" t="n">
        <v>68</v>
      </c>
      <c r="R25" s="46" t="n">
        <v>55</v>
      </c>
      <c r="S25" s="1" t="n"/>
      <c r="T25" s="1" t="n"/>
      <c r="U25" s="1" t="n"/>
      <c r="V25" s="1" t="n"/>
      <c r="W25" s="1" t="n"/>
      <c r="X25" s="1" t="n"/>
    </row>
    <row r="26">
      <c r="A26" s="1" t="n"/>
      <c r="B26" s="39" t="inlineStr">
        <is>
          <t>Eng/Post</t>
        </is>
      </c>
      <c r="D26" s="48" t="n">
        <v>2450</v>
      </c>
      <c r="G26" s="41" t="inlineStr">
        <is>
          <t>^ +15%</t>
        </is>
      </c>
      <c r="H26" s="1" t="n"/>
      <c r="I26" s="1" t="n"/>
      <c r="J26" s="1" t="n"/>
      <c r="K26" s="44" t="inlineStr">
        <is>
          <t>9AM</t>
        </is>
      </c>
      <c r="L26" s="46" t="n">
        <v>45</v>
      </c>
      <c r="M26" s="46" t="n">
        <v>52</v>
      </c>
      <c r="N26" s="46" t="n">
        <v>48</v>
      </c>
      <c r="O26" s="46" t="n">
        <v>55</v>
      </c>
      <c r="P26" s="46" t="n">
        <v>58</v>
      </c>
      <c r="Q26" s="46" t="n">
        <v>45</v>
      </c>
      <c r="R26" s="45" t="n">
        <v>38</v>
      </c>
      <c r="S26" s="1" t="n"/>
      <c r="T26" s="1" t="n"/>
      <c r="U26" s="1" t="n"/>
      <c r="V26" s="1" t="n"/>
      <c r="W26" s="1" t="n"/>
      <c r="X26" s="1" t="n"/>
    </row>
    <row r="27">
      <c r="A27" s="1" t="n"/>
      <c r="B27" s="39" t="inlineStr">
        <is>
          <t>$/View</t>
        </is>
      </c>
      <c r="D27" s="49" t="n">
        <v>0.0048</v>
      </c>
      <c r="G27" s="41" t="inlineStr">
        <is>
          <t>^ +15%</t>
        </is>
      </c>
      <c r="H27" s="1" t="n"/>
      <c r="I27" s="1" t="n"/>
      <c r="J27" s="1" t="n"/>
      <c r="K27" s="44" t="inlineStr">
        <is>
          <t>12PM</t>
        </is>
      </c>
      <c r="L27" s="47" t="n">
        <v>62</v>
      </c>
      <c r="M27" s="47" t="n">
        <v>68</v>
      </c>
      <c r="N27" s="47" t="n">
        <v>65</v>
      </c>
      <c r="O27" s="47" t="n">
        <v>72</v>
      </c>
      <c r="P27" s="46" t="n">
        <v>58</v>
      </c>
      <c r="Q27" s="46" t="n">
        <v>42</v>
      </c>
      <c r="R27" s="45" t="n">
        <v>35</v>
      </c>
      <c r="S27" s="1" t="n"/>
      <c r="T27" s="1" t="n"/>
      <c r="U27" s="1" t="n"/>
      <c r="V27" s="1" t="n"/>
      <c r="W27" s="1" t="n"/>
      <c r="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44" t="inlineStr">
        <is>
          <t>3PM</t>
        </is>
      </c>
      <c r="L28" s="50" t="n">
        <v>78</v>
      </c>
      <c r="M28" s="50" t="n">
        <v>85</v>
      </c>
      <c r="N28" s="50" t="n">
        <v>82</v>
      </c>
      <c r="O28" s="50" t="n">
        <v>88</v>
      </c>
      <c r="P28" s="47" t="n">
        <v>68</v>
      </c>
      <c r="Q28" s="46" t="n">
        <v>52</v>
      </c>
      <c r="R28" s="46" t="n">
        <v>45</v>
      </c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44" t="inlineStr">
        <is>
          <t>6PM</t>
        </is>
      </c>
      <c r="L29" s="51" t="n">
        <v>92</v>
      </c>
      <c r="M29" s="51" t="n">
        <v>98</v>
      </c>
      <c r="N29" s="51" t="n">
        <v>95</v>
      </c>
      <c r="O29" s="51" t="n">
        <v>100</v>
      </c>
      <c r="P29" s="50" t="n">
        <v>88</v>
      </c>
      <c r="Q29" s="47" t="n">
        <v>72</v>
      </c>
      <c r="R29" s="47" t="n">
        <v>65</v>
      </c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44" t="inlineStr">
        <is>
          <t>9PM</t>
        </is>
      </c>
      <c r="L30" s="50" t="n">
        <v>75</v>
      </c>
      <c r="M30" s="50" t="n">
        <v>78</v>
      </c>
      <c r="N30" s="47" t="n">
        <v>72</v>
      </c>
      <c r="O30" s="50" t="n">
        <v>82</v>
      </c>
      <c r="P30" s="51" t="n">
        <v>92</v>
      </c>
      <c r="Q30" s="50" t="n">
        <v>88</v>
      </c>
      <c r="R30" s="50" t="n">
        <v>78</v>
      </c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 ht="4" customHeight="1">
      <c r="A32" s="1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</sheetData>
  <mergeCells count="29">
    <mergeCell ref="D27:F27"/>
    <mergeCell ref="B25:C25"/>
    <mergeCell ref="Q11:T11"/>
    <mergeCell ref="B27:C27"/>
    <mergeCell ref="L11:O11"/>
    <mergeCell ref="G12:J12"/>
    <mergeCell ref="Q9:T10"/>
    <mergeCell ref="Q12:T12"/>
    <mergeCell ref="K23:V23"/>
    <mergeCell ref="G11:J11"/>
    <mergeCell ref="B23:I23"/>
    <mergeCell ref="D25:F25"/>
    <mergeCell ref="D24:F24"/>
    <mergeCell ref="B9:E10"/>
    <mergeCell ref="Q8:T8"/>
    <mergeCell ref="B12:E12"/>
    <mergeCell ref="G8:J8"/>
    <mergeCell ref="L9:O10"/>
    <mergeCell ref="B15:V15"/>
    <mergeCell ref="L12:O12"/>
    <mergeCell ref="B11:E11"/>
    <mergeCell ref="D26:F26"/>
    <mergeCell ref="B4:V4"/>
    <mergeCell ref="B24:C24"/>
    <mergeCell ref="L8:O8"/>
    <mergeCell ref="B8:E8"/>
    <mergeCell ref="G9:J10"/>
    <mergeCell ref="B3:V3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FF"/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" customHeight="1">
      <c r="A2" s="1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" t="n"/>
    </row>
    <row r="3" ht="40" customHeight="1">
      <c r="A3" s="1" t="n"/>
      <c r="B3" s="52" t="inlineStr">
        <is>
          <t>CONTENT PERFORMANCE DEEP DIVE</t>
        </is>
      </c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53" t="inlineStr">
        <is>
          <t>CONTENT TYPE ANALYSIS</t>
        </is>
      </c>
      <c r="K6" s="1" t="n"/>
      <c r="L6" s="54" t="inlineStr">
        <is>
          <t>TOP PERFORMING VIDEOS</t>
        </is>
      </c>
      <c r="U6" s="1" t="n"/>
    </row>
    <row r="7">
      <c r="A7" s="1" t="n"/>
      <c r="B7" s="55" t="inlineStr">
        <is>
          <t>Type</t>
        </is>
      </c>
      <c r="C7" s="55" t="inlineStr">
        <is>
          <t>Count</t>
        </is>
      </c>
      <c r="D7" s="55" t="inlineStr">
        <is>
          <t>Avg Views</t>
        </is>
      </c>
      <c r="E7" s="55" t="inlineStr">
        <is>
          <t>Eng Rate</t>
        </is>
      </c>
      <c r="F7" s="55" t="inlineStr">
        <is>
          <t>Retention</t>
        </is>
      </c>
      <c r="G7" s="55" t="inlineStr">
        <is>
          <t>Revenue</t>
        </is>
      </c>
      <c r="H7" s="55" t="inlineStr">
        <is>
          <t>Score</t>
        </is>
      </c>
      <c r="I7" s="1" t="n"/>
      <c r="J7" s="1" t="n"/>
      <c r="K7" s="1" t="n"/>
      <c r="L7" s="41" t="inlineStr">
        <is>
          <t>#</t>
        </is>
      </c>
      <c r="M7" s="41" t="inlineStr">
        <is>
          <t>Video Title</t>
        </is>
      </c>
      <c r="N7" s="41" t="inlineStr">
        <is>
          <t>Views</t>
        </is>
      </c>
      <c r="O7" s="41" t="inlineStr">
        <is>
          <t>Likes</t>
        </is>
      </c>
      <c r="P7" s="41" t="inlineStr">
        <is>
          <t>CTR</t>
        </is>
      </c>
      <c r="Q7" s="41" t="inlineStr">
        <is>
          <t>Rev</t>
        </is>
      </c>
      <c r="R7" s="1" t="n"/>
      <c r="S7" s="1" t="n"/>
      <c r="T7" s="1" t="n"/>
      <c r="U7" s="1" t="n"/>
    </row>
    <row r="8">
      <c r="A8" s="1" t="n"/>
      <c r="B8" s="56" t="inlineStr">
        <is>
          <t>Tutorials</t>
        </is>
      </c>
      <c r="C8" s="57" t="n">
        <v>28</v>
      </c>
      <c r="D8" s="58" t="n">
        <v>95000</v>
      </c>
      <c r="E8" s="59" t="n">
        <v>0.07199999999999999</v>
      </c>
      <c r="F8" s="60" t="n">
        <v>0.58</v>
      </c>
      <c r="G8" s="61" t="n">
        <v>3800</v>
      </c>
      <c r="H8" s="62">
        <f>((C8/30)+(D8/200000)+(E8/0.1)+(F8/0.6)+(G8/5000))/5*100</f>
        <v/>
      </c>
      <c r="I8" s="1" t="n"/>
      <c r="J8" s="1" t="n"/>
      <c r="K8" s="1" t="n"/>
      <c r="L8" s="63" t="n">
        <v>1</v>
      </c>
      <c r="M8" s="64" t="inlineStr">
        <is>
          <t>10 Excel Secrets</t>
        </is>
      </c>
      <c r="P8" s="65" t="n">
        <v>285000</v>
      </c>
      <c r="Q8" s="65" t="n">
        <v>18500</v>
      </c>
      <c r="R8" s="66" t="n">
        <v>0.092</v>
      </c>
      <c r="S8" s="67" t="n">
        <v>1140</v>
      </c>
      <c r="T8" s="1" t="n"/>
      <c r="U8" s="1" t="n"/>
    </row>
    <row r="9">
      <c r="A9" s="1" t="n"/>
      <c r="B9" s="68" t="inlineStr">
        <is>
          <t>Reviews</t>
        </is>
      </c>
      <c r="C9" s="57" t="n">
        <v>15</v>
      </c>
      <c r="D9" s="58" t="n">
        <v>125000</v>
      </c>
      <c r="E9" s="59" t="n">
        <v>0.065</v>
      </c>
      <c r="F9" s="60" t="n">
        <v>0.48</v>
      </c>
      <c r="G9" s="61" t="n">
        <v>4200</v>
      </c>
      <c r="H9" s="62">
        <f>((C9/30)+(D9/200000)+(E9/0.1)+(F9/0.6)+(G9/5000))/5*100</f>
        <v/>
      </c>
      <c r="I9" s="1" t="n"/>
      <c r="J9" s="1" t="n"/>
      <c r="K9" s="1" t="n"/>
      <c r="L9" s="69" t="n">
        <v>2</v>
      </c>
      <c r="M9" s="64" t="inlineStr">
        <is>
          <t>Make $10K/Month</t>
        </is>
      </c>
      <c r="P9" s="65" t="n">
        <v>225000</v>
      </c>
      <c r="Q9" s="65" t="n">
        <v>16200</v>
      </c>
      <c r="R9" s="66" t="n">
        <v>0.08500000000000001</v>
      </c>
      <c r="S9" s="67" t="n">
        <v>900</v>
      </c>
      <c r="T9" s="1" t="n"/>
      <c r="U9" s="1" t="n"/>
    </row>
    <row r="10">
      <c r="A10" s="1" t="n"/>
      <c r="B10" s="70" t="inlineStr">
        <is>
          <t>Shorts</t>
        </is>
      </c>
      <c r="C10" s="57" t="n">
        <v>85</v>
      </c>
      <c r="D10" s="58" t="n">
        <v>45000</v>
      </c>
      <c r="E10" s="59" t="n">
        <v>0.08799999999999999</v>
      </c>
      <c r="F10" s="60" t="n">
        <v>0.32</v>
      </c>
      <c r="G10" s="61" t="n">
        <v>1500</v>
      </c>
      <c r="H10" s="62">
        <f>((C10/30)+(D10/200000)+(E10/0.1)+(F10/0.6)+(G10/5000))/5*100</f>
        <v/>
      </c>
      <c r="I10" s="1" t="n"/>
      <c r="J10" s="1" t="n"/>
      <c r="K10" s="1" t="n"/>
      <c r="L10" s="71" t="n">
        <v>3</v>
      </c>
      <c r="M10" s="64" t="inlineStr">
        <is>
          <t>AI Tools Guide</t>
        </is>
      </c>
      <c r="P10" s="65" t="n">
        <v>195000</v>
      </c>
      <c r="Q10" s="65" t="n">
        <v>14800</v>
      </c>
      <c r="R10" s="66" t="n">
        <v>0.078</v>
      </c>
      <c r="S10" s="67" t="n">
        <v>780</v>
      </c>
      <c r="T10" s="1" t="n"/>
      <c r="U10" s="1" t="n"/>
    </row>
    <row r="11">
      <c r="A11" s="1" t="n"/>
      <c r="B11" s="72" t="inlineStr">
        <is>
          <t>Vlogs</t>
        </is>
      </c>
      <c r="C11" s="57" t="n">
        <v>12</v>
      </c>
      <c r="D11" s="58" t="n">
        <v>65000</v>
      </c>
      <c r="E11" s="59" t="n">
        <v>0.082</v>
      </c>
      <c r="F11" s="60" t="n">
        <v>0.42</v>
      </c>
      <c r="G11" s="61" t="n">
        <v>1200</v>
      </c>
      <c r="H11" s="62">
        <f>((C11/30)+(D11/200000)+(E11/0.1)+(F11/0.6)+(G11/5000))/5*100</f>
        <v/>
      </c>
      <c r="I11" s="1" t="n"/>
      <c r="J11" s="1" t="n"/>
      <c r="K11" s="1" t="n"/>
      <c r="L11" s="73" t="n">
        <v>4</v>
      </c>
      <c r="M11" s="64" t="inlineStr">
        <is>
          <t>Creator Setup Tour</t>
        </is>
      </c>
      <c r="P11" s="65" t="n">
        <v>175000</v>
      </c>
      <c r="Q11" s="65" t="n">
        <v>15500</v>
      </c>
      <c r="R11" s="66" t="n">
        <v>0.095</v>
      </c>
      <c r="S11" s="67" t="n">
        <v>700</v>
      </c>
      <c r="T11" s="1" t="n"/>
      <c r="U11" s="1" t="n"/>
    </row>
    <row r="12">
      <c r="A12" s="1" t="n"/>
      <c r="B12" s="74" t="inlineStr">
        <is>
          <t>Collabs</t>
        </is>
      </c>
      <c r="C12" s="57" t="n">
        <v>8</v>
      </c>
      <c r="D12" s="58" t="n">
        <v>185000</v>
      </c>
      <c r="E12" s="59" t="n">
        <v>0.095</v>
      </c>
      <c r="F12" s="60" t="n">
        <v>0.52</v>
      </c>
      <c r="G12" s="61" t="n">
        <v>2800</v>
      </c>
      <c r="H12" s="62">
        <f>((C12/30)+(D12/200000)+(E12/0.1)+(F12/0.6)+(G12/5000))/5*100</f>
        <v/>
      </c>
      <c r="I12" s="1" t="n"/>
      <c r="J12" s="1" t="n"/>
      <c r="K12" s="1" t="n"/>
      <c r="L12" s="73" t="n">
        <v>5</v>
      </c>
      <c r="M12" s="64" t="inlineStr">
        <is>
          <t>Productivity Hacks</t>
        </is>
      </c>
      <c r="P12" s="65" t="n">
        <v>158000</v>
      </c>
      <c r="Q12" s="65" t="n">
        <v>12200</v>
      </c>
      <c r="R12" s="66" t="n">
        <v>0.07199999999999999</v>
      </c>
      <c r="S12" s="67" t="n">
        <v>632</v>
      </c>
      <c r="T12" s="1" t="n"/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75" t="inlineStr">
        <is>
          <t>30-DAY PERFORMANCE TREND</t>
        </is>
      </c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76" t="n"/>
      <c r="I17" s="1" t="n"/>
      <c r="J17" s="76" t="n"/>
      <c r="K17" s="1" t="n"/>
      <c r="L17" s="76" t="n"/>
      <c r="M17" s="1" t="n"/>
      <c r="N17" s="77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76" t="n"/>
      <c r="I18" s="1" t="n"/>
      <c r="J18" s="78" t="n"/>
      <c r="K18" s="1" t="n"/>
      <c r="L18" s="78" t="n"/>
      <c r="M18" s="1" t="n"/>
      <c r="N18" s="78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79" t="n"/>
      <c r="I19" s="1" t="n"/>
      <c r="J19" s="79" t="n"/>
      <c r="K19" s="1" t="n"/>
      <c r="L19" s="79" t="n"/>
      <c r="M19" s="1" t="n"/>
      <c r="N19" s="79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80" t="n"/>
      <c r="I20" s="1" t="n"/>
      <c r="J20" s="80" t="n"/>
      <c r="K20" s="1" t="n"/>
      <c r="L20" s="80" t="n"/>
      <c r="M20" s="1" t="n"/>
      <c r="N20" s="80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81" t="n"/>
      <c r="I21" s="1" t="n"/>
      <c r="J21" s="81" t="n"/>
      <c r="K21" s="1" t="n"/>
      <c r="L21" s="81" t="n"/>
      <c r="M21" s="1" t="n"/>
      <c r="N21" s="8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82" t="n"/>
      <c r="I22" s="1" t="n"/>
      <c r="J22" s="82" t="n"/>
      <c r="K22" s="1" t="n"/>
      <c r="L22" s="82" t="n"/>
      <c r="M22" s="1" t="n"/>
      <c r="N22" s="82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83" t="inlineStr">
        <is>
          <t>W1</t>
        </is>
      </c>
      <c r="I23" s="1" t="n"/>
      <c r="J23" s="83" t="inlineStr">
        <is>
          <t>W2</t>
        </is>
      </c>
      <c r="K23" s="1" t="n"/>
      <c r="L23" s="83" t="inlineStr">
        <is>
          <t>W3</t>
        </is>
      </c>
      <c r="M23" s="1" t="n"/>
      <c r="N23" s="83" t="inlineStr">
        <is>
          <t>W4</t>
        </is>
      </c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84" t="n">
        <v>285000</v>
      </c>
      <c r="I24" s="1" t="n"/>
      <c r="J24" s="84" t="n">
        <v>312000</v>
      </c>
      <c r="K24" s="1" t="n"/>
      <c r="L24" s="84" t="n">
        <v>298000</v>
      </c>
      <c r="M24" s="1" t="n"/>
      <c r="N24" s="84" t="n">
        <v>345000</v>
      </c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85" t="inlineStr">
        <is>
          <t>AUDIENCE RETENTION PATTERN</t>
        </is>
      </c>
      <c r="U27" s="1" t="n"/>
    </row>
    <row r="28">
      <c r="A28" s="1" t="n"/>
      <c r="B28" s="86" t="inlineStr">
        <is>
          <t>100%</t>
        </is>
      </c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1" t="n"/>
      <c r="T28" s="1" t="n"/>
      <c r="U28" s="1" t="n"/>
    </row>
    <row r="29">
      <c r="A29" s="1" t="n"/>
      <c r="B29" s="86" t="inlineStr">
        <is>
          <t>75%</t>
        </is>
      </c>
      <c r="C29" s="87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1" t="n"/>
      <c r="T29" s="1" t="n"/>
      <c r="U29" s="1" t="n"/>
    </row>
    <row r="30">
      <c r="A30" s="1" t="n"/>
      <c r="B30" s="86" t="inlineStr">
        <is>
          <t>50%</t>
        </is>
      </c>
      <c r="C30" s="88" t="n"/>
      <c r="D30" s="88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1" t="n"/>
      <c r="T30" s="1" t="n"/>
      <c r="U30" s="1" t="n"/>
    </row>
    <row r="31">
      <c r="A31" s="1" t="n"/>
      <c r="B31" s="86" t="inlineStr">
        <is>
          <t>25%</t>
        </is>
      </c>
      <c r="C31" s="89" t="n"/>
      <c r="D31" s="89" t="n"/>
      <c r="E31" s="89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1" t="n"/>
      <c r="T31" s="1" t="n"/>
      <c r="U31" s="1" t="n"/>
    </row>
    <row r="32">
      <c r="A32" s="1" t="n"/>
      <c r="B32" s="86" t="inlineStr">
        <is>
          <t>0%</t>
        </is>
      </c>
      <c r="C32" s="90" t="n"/>
      <c r="D32" s="90" t="n"/>
      <c r="E32" s="90" t="n"/>
      <c r="F32" s="90" t="n"/>
      <c r="G32" s="90" t="n"/>
      <c r="H32" s="90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1" t="n"/>
      <c r="T32" s="1" t="n"/>
      <c r="U32" s="1" t="n"/>
    </row>
    <row r="33">
      <c r="A33" s="1" t="n"/>
      <c r="B33" s="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76" t="n"/>
      <c r="R33" s="76" t="n"/>
      <c r="S33" s="1" t="n"/>
      <c r="T33" s="1" t="n"/>
      <c r="U33" s="1" t="n"/>
    </row>
    <row r="34">
      <c r="A34" s="1" t="n"/>
      <c r="B34" s="1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53" t="inlineStr">
        <is>
          <t>KEY INSIGHTS</t>
        </is>
      </c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3" t="n"/>
      <c r="C39" s="13" t="n"/>
      <c r="D39" s="13" t="n"/>
      <c r="E39" s="13" t="n"/>
      <c r="F39" s="1" t="n"/>
      <c r="G39" s="2" t="n"/>
      <c r="H39" s="2" t="n"/>
      <c r="I39" s="2" t="n"/>
      <c r="J39" s="2" t="n"/>
      <c r="K39" s="1" t="n"/>
      <c r="L39" s="14" t="n"/>
      <c r="M39" s="14" t="n"/>
      <c r="N39" s="14" t="n"/>
      <c r="O39" s="14" t="n"/>
      <c r="P39" s="1" t="n"/>
      <c r="Q39" s="15" t="n"/>
      <c r="R39" s="15" t="n"/>
      <c r="S39" s="15" t="n"/>
      <c r="T39" s="15" t="n"/>
      <c r="U39" s="1" t="n"/>
    </row>
    <row r="40">
      <c r="A40" s="1" t="n"/>
      <c r="B40" s="93" t="inlineStr">
        <is>
          <t>Peak Performance</t>
        </is>
      </c>
      <c r="F40" s="1" t="n"/>
      <c r="G40" s="94" t="inlineStr">
        <is>
          <t>Top Content</t>
        </is>
      </c>
      <c r="K40" s="1" t="n"/>
      <c r="L40" s="95" t="inlineStr">
        <is>
          <t>Growth Driver</t>
        </is>
      </c>
      <c r="P40" s="1" t="n"/>
      <c r="Q40" s="96" t="inlineStr">
        <is>
          <t>Retention Key</t>
        </is>
      </c>
      <c r="U40" s="1" t="n"/>
    </row>
    <row r="41">
      <c r="A41" s="1" t="n"/>
      <c r="B41" s="97" t="inlineStr">
        <is>
          <t>6PM-9PM posting gets 42% more engagement</t>
        </is>
      </c>
      <c r="F41" s="1" t="n"/>
      <c r="G41" s="97" t="inlineStr">
        <is>
          <t>Tutorial videos generate 3.2x more revenue</t>
        </is>
      </c>
      <c r="K41" s="1" t="n"/>
      <c r="L41" s="97" t="inlineStr">
        <is>
          <t>Shorts drive 65% of new subscriber growth</t>
        </is>
      </c>
      <c r="P41" s="1" t="n"/>
      <c r="Q41" s="97" t="inlineStr">
        <is>
          <t>Strong hooks retain 28% more viewers</t>
        </is>
      </c>
      <c r="U41" s="1" t="n"/>
    </row>
    <row r="42">
      <c r="A42" s="1" t="n"/>
      <c r="F42" s="1" t="n"/>
      <c r="K42" s="1" t="n"/>
      <c r="P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</sheetData>
  <mergeCells count="19">
    <mergeCell ref="M11:O11"/>
    <mergeCell ref="B40:E40"/>
    <mergeCell ref="B37:T37"/>
    <mergeCell ref="M10:O10"/>
    <mergeCell ref="L40:O40"/>
    <mergeCell ref="M12:O12"/>
    <mergeCell ref="B15:T15"/>
    <mergeCell ref="G40:J40"/>
    <mergeCell ref="M8:O8"/>
    <mergeCell ref="B6:J6"/>
    <mergeCell ref="L6:T6"/>
    <mergeCell ref="B3:T3"/>
    <mergeCell ref="B27:T27"/>
    <mergeCell ref="L41:O42"/>
    <mergeCell ref="G41:J42"/>
    <mergeCell ref="M9:O9"/>
    <mergeCell ref="Q40:T40"/>
    <mergeCell ref="Q41:T42"/>
    <mergeCell ref="B41:E42"/>
  </mergeCells>
  <conditionalFormatting sqref="H8:H12">
    <cfRule type="dataBar" priority="1">
      <dataBar showValue="1">
        <cfvo type="num" val="0"/>
        <cfvo type="num" val="100"/>
        <color rgb="00FF00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88"/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" customHeight="1">
      <c r="A2" s="1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" t="n"/>
    </row>
    <row r="3" ht="40" customHeight="1">
      <c r="A3" s="1" t="n"/>
      <c r="B3" s="98" t="inlineStr">
        <is>
          <t>AUDIENCE INTELLIGENCE CENTER</t>
        </is>
      </c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99" t="inlineStr">
        <is>
          <t>AGE DISTRIBUTION</t>
        </is>
      </c>
      <c r="H6" s="1" t="n"/>
      <c r="I6" s="1" t="n"/>
      <c r="J6" s="37" t="inlineStr">
        <is>
          <t>TOP COUNTRIES</t>
        </is>
      </c>
      <c r="U6" s="1" t="n"/>
    </row>
    <row r="7">
      <c r="A7" s="1" t="n"/>
      <c r="B7" s="100" t="inlineStr">
        <is>
          <t>13-17</t>
        </is>
      </c>
      <c r="C7" s="76" t="n"/>
      <c r="D7" s="76" t="n"/>
      <c r="E7" s="76" t="n"/>
      <c r="F7" s="76" t="n"/>
      <c r="G7" s="76" t="n"/>
      <c r="H7" s="101" t="n">
        <v>0.08</v>
      </c>
      <c r="I7" s="1" t="n"/>
      <c r="J7" s="102" t="inlineStr">
        <is>
          <t>United States</t>
        </is>
      </c>
      <c r="M7" s="65" t="n">
        <v>48000</v>
      </c>
      <c r="O7" s="78" t="n"/>
      <c r="P7" s="78" t="n"/>
      <c r="Q7" s="78" t="n"/>
      <c r="R7" s="78" t="n"/>
      <c r="S7" s="76" t="n"/>
      <c r="T7" s="103" t="n">
        <v>0.38</v>
      </c>
      <c r="U7" s="1" t="n"/>
    </row>
    <row r="8">
      <c r="A8" s="1" t="n"/>
      <c r="B8" s="100" t="inlineStr">
        <is>
          <t>18-24</t>
        </is>
      </c>
      <c r="C8" s="9" t="n"/>
      <c r="D8" s="9" t="n"/>
      <c r="E8" s="9" t="n"/>
      <c r="F8" s="76" t="n"/>
      <c r="G8" s="76" t="n"/>
      <c r="H8" s="104" t="n">
        <v>0.32</v>
      </c>
      <c r="I8" s="1" t="n"/>
      <c r="J8" s="105" t="inlineStr">
        <is>
          <t>United Kingdom</t>
        </is>
      </c>
      <c r="M8" s="65" t="n">
        <v>19000</v>
      </c>
      <c r="O8" s="79" t="n"/>
      <c r="P8" s="76" t="n"/>
      <c r="Q8" s="76" t="n"/>
      <c r="R8" s="76" t="n"/>
      <c r="S8" s="76" t="n"/>
      <c r="T8" s="106" t="n">
        <v>0.15</v>
      </c>
      <c r="U8" s="1" t="n"/>
    </row>
    <row r="9">
      <c r="A9" s="1" t="n"/>
      <c r="B9" s="100" t="inlineStr">
        <is>
          <t>25-34</t>
        </is>
      </c>
      <c r="C9" s="11" t="n"/>
      <c r="D9" s="11" t="n"/>
      <c r="E9" s="11" t="n"/>
      <c r="F9" s="76" t="n"/>
      <c r="G9" s="76" t="n"/>
      <c r="H9" s="107" t="n">
        <v>0.35</v>
      </c>
      <c r="I9" s="1" t="n"/>
      <c r="J9" s="108" t="inlineStr">
        <is>
          <t>Canada</t>
        </is>
      </c>
      <c r="M9" s="65" t="n">
        <v>15200</v>
      </c>
      <c r="O9" s="80" t="n"/>
      <c r="P9" s="76" t="n"/>
      <c r="Q9" s="76" t="n"/>
      <c r="R9" s="76" t="n"/>
      <c r="S9" s="76" t="n"/>
      <c r="T9" s="109" t="n">
        <v>0.12</v>
      </c>
      <c r="U9" s="1" t="n"/>
    </row>
    <row r="10">
      <c r="A10" s="1" t="n"/>
      <c r="B10" s="100" t="inlineStr">
        <is>
          <t>35-44</t>
        </is>
      </c>
      <c r="C10" s="90" t="n"/>
      <c r="D10" s="76" t="n"/>
      <c r="E10" s="76" t="n"/>
      <c r="F10" s="76" t="n"/>
      <c r="G10" s="76" t="n"/>
      <c r="H10" s="110" t="n">
        <v>0.15</v>
      </c>
      <c r="I10" s="1" t="n"/>
      <c r="J10" s="111" t="inlineStr">
        <is>
          <t>Australia</t>
        </is>
      </c>
      <c r="M10" s="65" t="n">
        <v>10100</v>
      </c>
      <c r="O10" s="76" t="n"/>
      <c r="P10" s="76" t="n"/>
      <c r="Q10" s="76" t="n"/>
      <c r="R10" s="76" t="n"/>
      <c r="S10" s="76" t="n"/>
      <c r="T10" s="112" t="n">
        <v>0.08</v>
      </c>
      <c r="U10" s="1" t="n"/>
    </row>
    <row r="11">
      <c r="A11" s="1" t="n"/>
      <c r="B11" s="100" t="inlineStr">
        <is>
          <t>45+</t>
        </is>
      </c>
      <c r="C11" s="88" t="n"/>
      <c r="D11" s="76" t="n"/>
      <c r="E11" s="76" t="n"/>
      <c r="F11" s="76" t="n"/>
      <c r="G11" s="76" t="n"/>
      <c r="H11" s="113" t="n">
        <v>0.1</v>
      </c>
      <c r="I11" s="1" t="n"/>
      <c r="J11" s="114" t="inlineStr">
        <is>
          <t>Germany</t>
        </is>
      </c>
      <c r="M11" s="65" t="n">
        <v>7600</v>
      </c>
      <c r="O11" s="76" t="n"/>
      <c r="P11" s="76" t="n"/>
      <c r="Q11" s="76" t="n"/>
      <c r="R11" s="76" t="n"/>
      <c r="S11" s="76" t="n"/>
      <c r="T11" s="115" t="n">
        <v>0.06</v>
      </c>
      <c r="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16" t="inlineStr">
        <is>
          <t>India</t>
        </is>
      </c>
      <c r="M12" s="65" t="n">
        <v>15200</v>
      </c>
      <c r="O12" s="117" t="n"/>
      <c r="P12" s="76" t="n"/>
      <c r="Q12" s="76" t="n"/>
      <c r="R12" s="76" t="n"/>
      <c r="S12" s="76" t="n"/>
      <c r="T12" s="118" t="n">
        <v>0.12</v>
      </c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19" t="inlineStr">
        <is>
          <t>Others</t>
        </is>
      </c>
      <c r="M13" s="65" t="n">
        <v>11400</v>
      </c>
      <c r="O13" s="8" t="n"/>
      <c r="P13" s="76" t="n"/>
      <c r="Q13" s="76" t="n"/>
      <c r="R13" s="76" t="n"/>
      <c r="S13" s="76" t="n"/>
      <c r="T13" s="120" t="n">
        <v>0.09</v>
      </c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21" t="inlineStr">
        <is>
          <t>SUBSCRIBER VALUE TIERS</t>
        </is>
      </c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22" t="inlineStr">
        <is>
          <t>Super Fans (5%)</t>
        </is>
      </c>
      <c r="I17" s="123" t="inlineStr">
        <is>
          <t>Purchase everything, share constantly</t>
        </is>
      </c>
      <c r="Q17" s="1" t="n"/>
      <c r="R17" s="1" t="n"/>
      <c r="S17" s="1" t="n"/>
      <c r="T17" s="1" t="n"/>
      <c r="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24" t="inlineStr">
        <is>
          <t>Active Engaged (15%)</t>
        </is>
      </c>
      <c r="H19" s="125" t="inlineStr">
        <is>
          <t>Regular interaction, occasional purchases</t>
        </is>
      </c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26" t="inlineStr">
        <is>
          <t>Casual Viewers (30%)</t>
        </is>
      </c>
      <c r="G21" s="127" t="inlineStr">
        <is>
          <t>Watch regularly, low interaction</t>
        </is>
      </c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28" t="inlineStr">
        <is>
          <t>Passive Subs (50%)</t>
        </is>
      </c>
      <c r="F23" s="129" t="inlineStr">
        <is>
          <t>Subscribed but rarely watch</t>
        </is>
      </c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30" t="inlineStr">
        <is>
          <t>ENGAGEMENT QUALITY METRICS</t>
        </is>
      </c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31" t="n"/>
      <c r="C28" s="131" t="n"/>
      <c r="D28" s="131" t="n"/>
      <c r="E28" s="1" t="n"/>
      <c r="F28" s="117" t="n"/>
      <c r="G28" s="117" t="n"/>
      <c r="H28" s="117" t="n"/>
      <c r="I28" s="1" t="n"/>
      <c r="J28" s="132" t="n"/>
      <c r="K28" s="132" t="n"/>
      <c r="L28" s="132" t="n"/>
      <c r="M28" s="1" t="n"/>
      <c r="N28" s="10" t="n"/>
      <c r="O28" s="10" t="n"/>
      <c r="P28" s="10" t="n"/>
      <c r="Q28" s="1" t="n"/>
      <c r="R28" s="9" t="n"/>
      <c r="S28" s="9" t="n"/>
      <c r="T28" s="9" t="n"/>
      <c r="U28" s="1" t="n"/>
    </row>
    <row r="29">
      <c r="A29" s="1" t="n"/>
      <c r="B29" s="133" t="inlineStr">
        <is>
          <t>Comment Sentiment</t>
        </is>
      </c>
      <c r="E29" s="1" t="n"/>
      <c r="F29" s="133" t="inlineStr">
        <is>
          <t>Share Rate</t>
        </is>
      </c>
      <c r="I29" s="1" t="n"/>
      <c r="J29" s="133" t="inlineStr">
        <is>
          <t>Save Rate</t>
        </is>
      </c>
      <c r="M29" s="1" t="n"/>
      <c r="N29" s="133" t="inlineStr">
        <is>
          <t>Reply Engagement</t>
        </is>
      </c>
      <c r="Q29" s="1" t="n"/>
      <c r="R29" s="133" t="inlineStr">
        <is>
          <t>Watch-to-Sub</t>
        </is>
      </c>
      <c r="U29" s="1" t="n"/>
    </row>
    <row r="30">
      <c r="A30" s="1" t="n"/>
      <c r="B30" s="134" t="n">
        <v>0.82</v>
      </c>
      <c r="E30" s="1" t="n"/>
      <c r="F30" s="135" t="n">
        <v>0.045</v>
      </c>
      <c r="I30" s="1" t="n"/>
      <c r="J30" s="136" t="n">
        <v>0.068</v>
      </c>
      <c r="M30" s="1" t="n"/>
      <c r="N30" s="137" t="n">
        <v>0.15</v>
      </c>
      <c r="Q30" s="1" t="n"/>
      <c r="R30" s="138" t="n">
        <v>0.018</v>
      </c>
      <c r="U30" s="1" t="n"/>
    </row>
    <row r="31">
      <c r="A31" s="1" t="n"/>
      <c r="E31" s="1" t="n"/>
      <c r="I31" s="1" t="n"/>
      <c r="M31" s="1" t="n"/>
      <c r="Q31" s="1" t="n"/>
      <c r="U31" s="1" t="n"/>
    </row>
    <row r="32">
      <c r="A32" s="1" t="n"/>
      <c r="B32" s="139" t="inlineStr">
        <is>
          <t>Positive</t>
        </is>
      </c>
      <c r="E32" s="1" t="n"/>
      <c r="F32" s="139" t="inlineStr">
        <is>
          <t>Above Avg</t>
        </is>
      </c>
      <c r="I32" s="1" t="n"/>
      <c r="J32" s="139" t="inlineStr">
        <is>
          <t>Excellent</t>
        </is>
      </c>
      <c r="M32" s="1" t="n"/>
      <c r="N32" s="139" t="inlineStr">
        <is>
          <t>Strong</t>
        </is>
      </c>
      <c r="Q32" s="1" t="n"/>
      <c r="R32" s="139" t="inlineStr">
        <is>
          <t>Good</t>
        </is>
      </c>
      <c r="U32" s="1" t="n"/>
    </row>
    <row r="33">
      <c r="A33" s="1" t="n"/>
      <c r="B33" s="140" t="n"/>
      <c r="C33" s="140" t="n"/>
      <c r="D33" s="140" t="n"/>
      <c r="E33" s="1" t="n"/>
      <c r="F33" s="140" t="n"/>
      <c r="G33" s="140" t="n"/>
      <c r="H33" s="140" t="n"/>
      <c r="I33" s="1" t="n"/>
      <c r="J33" s="140" t="n"/>
      <c r="K33" s="140" t="n"/>
      <c r="L33" s="140" t="n"/>
      <c r="M33" s="1" t="n"/>
      <c r="N33" s="140" t="n"/>
      <c r="O33" s="140" t="n"/>
      <c r="P33" s="140" t="n"/>
      <c r="Q33" s="1" t="n"/>
      <c r="R33" s="140" t="n"/>
      <c r="S33" s="140" t="n"/>
      <c r="T33" s="140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</sheetData>
  <mergeCells count="42">
    <mergeCell ref="H19:Q19"/>
    <mergeCell ref="B30:D31"/>
    <mergeCell ref="F32:H32"/>
    <mergeCell ref="N30:P31"/>
    <mergeCell ref="M9:N9"/>
    <mergeCell ref="B29:D29"/>
    <mergeCell ref="B15:T15"/>
    <mergeCell ref="J11:L11"/>
    <mergeCell ref="J7:L7"/>
    <mergeCell ref="N29:P29"/>
    <mergeCell ref="J32:L32"/>
    <mergeCell ref="M11:N11"/>
    <mergeCell ref="R32:T32"/>
    <mergeCell ref="M10:N10"/>
    <mergeCell ref="J6:T6"/>
    <mergeCell ref="B26:T26"/>
    <mergeCell ref="D19:G19"/>
    <mergeCell ref="J12:L12"/>
    <mergeCell ref="M13:N13"/>
    <mergeCell ref="B6:G6"/>
    <mergeCell ref="M7:N7"/>
    <mergeCell ref="B3:T3"/>
    <mergeCell ref="E17:H17"/>
    <mergeCell ref="M12:N12"/>
    <mergeCell ref="F30:H31"/>
    <mergeCell ref="B32:D32"/>
    <mergeCell ref="J30:L31"/>
    <mergeCell ref="J8:L8"/>
    <mergeCell ref="R30:T31"/>
    <mergeCell ref="F23:S23"/>
    <mergeCell ref="F29:H29"/>
    <mergeCell ref="M8:N8"/>
    <mergeCell ref="I17:P17"/>
    <mergeCell ref="G21:R21"/>
    <mergeCell ref="J29:L29"/>
    <mergeCell ref="B23:E23"/>
    <mergeCell ref="R29:T29"/>
    <mergeCell ref="J10:L10"/>
    <mergeCell ref="N32:P32"/>
    <mergeCell ref="J13:L13"/>
    <mergeCell ref="C21:F21"/>
    <mergeCell ref="J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" customHeight="1">
      <c r="A2" s="1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" t="n"/>
    </row>
    <row r="3" ht="40" customHeight="1">
      <c r="A3" s="1" t="n"/>
      <c r="B3" s="141" t="inlineStr">
        <is>
          <t>GROWTH TRAJECTORY ANALYSIS</t>
        </is>
      </c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99" t="inlineStr">
        <is>
          <t>12-MONTH SUBSCRIBER GROWTH</t>
        </is>
      </c>
      <c r="U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1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11" t="n"/>
      <c r="O8" s="1" t="n"/>
      <c r="P8" s="1" t="n"/>
      <c r="Q8" s="1" t="n"/>
      <c r="R8" s="1" t="n"/>
      <c r="S8" s="1" t="n"/>
      <c r="T8" s="1" t="n"/>
      <c r="U8" s="1" t="n"/>
    </row>
    <row r="9">
      <c r="A9" s="1" t="n"/>
      <c r="B9" s="1" t="n"/>
      <c r="C9" s="76" t="n"/>
      <c r="D9" s="76" t="n"/>
      <c r="E9" s="76" t="n"/>
      <c r="F9" s="76" t="n"/>
      <c r="G9" s="76" t="n"/>
      <c r="H9" s="76" t="n"/>
      <c r="I9" s="76" t="n"/>
      <c r="J9" s="76" t="n"/>
      <c r="K9" s="10" t="n"/>
      <c r="L9" s="10" t="n"/>
      <c r="M9" s="10" t="n"/>
      <c r="N9" s="10" t="n"/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1" t="n"/>
      <c r="C10" s="76" t="n"/>
      <c r="D10" s="76" t="n"/>
      <c r="E10" s="76" t="n"/>
      <c r="F10" s="76" t="n"/>
      <c r="G10" s="76" t="n"/>
      <c r="H10" s="76" t="n"/>
      <c r="I10" s="10" t="n"/>
      <c r="J10" s="10" t="n"/>
      <c r="K10" s="10" t="n"/>
      <c r="L10" s="10" t="n"/>
      <c r="M10" s="10" t="n"/>
      <c r="N10" s="10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76" t="n"/>
      <c r="D11" s="76" t="n"/>
      <c r="E11" s="76" t="n"/>
      <c r="F11" s="76" t="n"/>
      <c r="G11" s="9" t="n"/>
      <c r="H11" s="9" t="n"/>
      <c r="I11" s="9" t="n"/>
      <c r="J11" s="9" t="n"/>
      <c r="K11" s="9" t="n"/>
      <c r="L11" s="9" t="n"/>
      <c r="M11" s="9" t="n"/>
      <c r="N11" s="9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1" t="n"/>
      <c r="C12" s="76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42" t="inlineStr">
        <is>
          <t>Jan</t>
        </is>
      </c>
      <c r="D20" s="142" t="inlineStr">
        <is>
          <t>Feb</t>
        </is>
      </c>
      <c r="E20" s="142" t="inlineStr">
        <is>
          <t>Mar</t>
        </is>
      </c>
      <c r="F20" s="142" t="inlineStr">
        <is>
          <t>Apr</t>
        </is>
      </c>
      <c r="G20" s="142" t="inlineStr">
        <is>
          <t>May</t>
        </is>
      </c>
      <c r="H20" s="142" t="inlineStr">
        <is>
          <t>Jun</t>
        </is>
      </c>
      <c r="I20" s="142" t="inlineStr">
        <is>
          <t>Jul</t>
        </is>
      </c>
      <c r="J20" s="142" t="inlineStr">
        <is>
          <t>Aug</t>
        </is>
      </c>
      <c r="K20" s="142" t="inlineStr">
        <is>
          <t>Sep</t>
        </is>
      </c>
      <c r="L20" s="142" t="inlineStr">
        <is>
          <t>Oct</t>
        </is>
      </c>
      <c r="M20" s="142" t="inlineStr">
        <is>
          <t>Nov</t>
        </is>
      </c>
      <c r="N20" s="142" t="inlineStr">
        <is>
          <t>Dec</t>
        </is>
      </c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43" t="n">
        <v>85000</v>
      </c>
      <c r="D21" s="143" t="n">
        <v>89500</v>
      </c>
      <c r="E21" s="143" t="n">
        <v>94200</v>
      </c>
      <c r="F21" s="143" t="n">
        <v>98800</v>
      </c>
      <c r="G21" s="143" t="n">
        <v>103500</v>
      </c>
      <c r="H21" s="143" t="n">
        <v>108200</v>
      </c>
      <c r="I21" s="143" t="n">
        <v>112500</v>
      </c>
      <c r="J21" s="143" t="n">
        <v>117000</v>
      </c>
      <c r="K21" s="143" t="n">
        <v>121800</v>
      </c>
      <c r="L21" s="143" t="n">
        <v>125500</v>
      </c>
      <c r="M21" s="143" t="n">
        <v>127500</v>
      </c>
      <c r="N21" s="143" t="n">
        <v>132000</v>
      </c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38" t="inlineStr">
        <is>
          <t>GROWTH VELOCITY METRICS</t>
        </is>
      </c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31" t="n"/>
      <c r="C25" s="131" t="n"/>
      <c r="D25" s="131" t="n"/>
      <c r="E25" s="131" t="n"/>
      <c r="F25" s="1" t="n"/>
      <c r="G25" s="132" t="n"/>
      <c r="H25" s="132" t="n"/>
      <c r="I25" s="132" t="n"/>
      <c r="J25" s="132" t="n"/>
      <c r="K25" s="1" t="n"/>
      <c r="L25" s="10" t="n"/>
      <c r="M25" s="10" t="n"/>
      <c r="N25" s="10" t="n"/>
      <c r="O25" s="10" t="n"/>
      <c r="P25" s="1" t="n"/>
      <c r="Q25" s="89" t="n"/>
      <c r="R25" s="89" t="n"/>
      <c r="S25" s="89" t="n"/>
      <c r="T25" s="89" t="n"/>
      <c r="U25" s="1" t="n"/>
    </row>
    <row r="26">
      <c r="A26" s="1" t="n"/>
      <c r="B26" s="144" t="inlineStr">
        <is>
          <t>Monthly Growth</t>
        </is>
      </c>
      <c r="F26" s="1" t="n"/>
      <c r="G26" s="144" t="inlineStr">
        <is>
          <t>YoY Growth</t>
        </is>
      </c>
      <c r="K26" s="1" t="n"/>
      <c r="L26" s="144" t="inlineStr">
        <is>
          <t>Projected 1Y</t>
        </is>
      </c>
      <c r="P26" s="1" t="n"/>
      <c r="Q26" s="144" t="inlineStr">
        <is>
          <t>Time to 1M</t>
        </is>
      </c>
      <c r="U26" s="1" t="n"/>
    </row>
    <row r="27">
      <c r="A27" s="1" t="n"/>
      <c r="B27" s="145" t="inlineStr">
        <is>
          <t>+3.5%</t>
        </is>
      </c>
      <c r="F27" s="1" t="n"/>
      <c r="G27" s="146" t="inlineStr">
        <is>
          <t>+55.3%</t>
        </is>
      </c>
      <c r="K27" s="1" t="n"/>
      <c r="L27" s="147" t="inlineStr">
        <is>
          <t>205K</t>
        </is>
      </c>
      <c r="P27" s="1" t="n"/>
      <c r="Q27" s="148" t="inlineStr">
        <is>
          <t>2.8 yrs</t>
        </is>
      </c>
      <c r="U27" s="1" t="n"/>
    </row>
    <row r="28">
      <c r="A28" s="1" t="n"/>
      <c r="F28" s="1" t="n"/>
      <c r="K28" s="1" t="n"/>
      <c r="P28" s="1" t="n"/>
      <c r="U28" s="1" t="n"/>
    </row>
    <row r="29">
      <c r="A29" s="1" t="n"/>
      <c r="B29" s="22" t="inlineStr">
        <is>
          <t>Avg/month</t>
        </is>
      </c>
      <c r="F29" s="1" t="n"/>
      <c r="G29" s="22" t="inlineStr">
        <is>
          <t>Year-over-year</t>
        </is>
      </c>
      <c r="K29" s="1" t="n"/>
      <c r="L29" s="22" t="inlineStr">
        <is>
          <t>At current pace</t>
        </is>
      </c>
      <c r="P29" s="1" t="n"/>
      <c r="Q29" s="22" t="inlineStr">
        <is>
          <t>Estimated</t>
        </is>
      </c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</sheetData>
  <mergeCells count="15">
    <mergeCell ref="B26:E26"/>
    <mergeCell ref="B3:T3"/>
    <mergeCell ref="L27:O28"/>
    <mergeCell ref="Q26:T26"/>
    <mergeCell ref="B27:E28"/>
    <mergeCell ref="G26:J26"/>
    <mergeCell ref="B23:T23"/>
    <mergeCell ref="Q27:T28"/>
    <mergeCell ref="G27:J28"/>
    <mergeCell ref="L26:O26"/>
    <mergeCell ref="B29:E29"/>
    <mergeCell ref="G29:J29"/>
    <mergeCell ref="Q29:T29"/>
    <mergeCell ref="L29:O29"/>
    <mergeCell ref="B6:T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" customHeight="1">
      <c r="A2" s="1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  <c r="N2" s="149" t="n"/>
      <c r="O2" s="149" t="n"/>
      <c r="P2" s="149" t="n"/>
      <c r="Q2" s="149" t="n"/>
      <c r="R2" s="149" t="n"/>
      <c r="S2" s="149" t="n"/>
      <c r="T2" s="149" t="n"/>
      <c r="U2" s="1" t="n"/>
    </row>
    <row r="3" ht="40" customHeight="1">
      <c r="A3" s="1" t="n"/>
      <c r="B3" s="150" t="inlineStr">
        <is>
          <t>MONETIZATION COMMAND CENTER</t>
        </is>
      </c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99" t="inlineStr">
        <is>
          <t>REVENUE PER MILLE (RPM) ANALYSIS</t>
        </is>
      </c>
      <c r="K6" s="1" t="n"/>
      <c r="L6" s="37" t="inlineStr">
        <is>
          <t>REVENUE GOALS</t>
        </is>
      </c>
      <c r="U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151" t="inlineStr">
        <is>
          <t>YouTube AdSense</t>
        </is>
      </c>
      <c r="E8" s="152" t="n">
        <v>4.85</v>
      </c>
      <c r="F8" s="153" t="n">
        <v>1200000</v>
      </c>
      <c r="H8" s="154" t="n">
        <v>5820</v>
      </c>
      <c r="J8" s="1" t="n"/>
      <c r="K8" s="1" t="n"/>
      <c r="L8" s="100" t="inlineStr">
        <is>
          <t>Monthly Target</t>
        </is>
      </c>
      <c r="N8" s="155" t="n">
        <v>15000</v>
      </c>
      <c r="O8" s="156" t="n">
        <v>12850</v>
      </c>
      <c r="P8" s="79" t="n"/>
      <c r="Q8" s="79" t="n"/>
      <c r="R8" s="79" t="n"/>
      <c r="S8" s="79" t="n"/>
      <c r="T8" s="76" t="n"/>
      <c r="U8" s="1" t="n"/>
    </row>
    <row r="9">
      <c r="A9" s="1" t="n"/>
      <c r="B9" s="151" t="inlineStr">
        <is>
          <t>Sponsorships</t>
        </is>
      </c>
      <c r="E9" s="152" t="n">
        <v>8.5</v>
      </c>
      <c r="F9" s="153" t="n">
        <v>450000</v>
      </c>
      <c r="H9" s="154" t="n">
        <v>3825</v>
      </c>
      <c r="J9" s="1" t="n"/>
      <c r="K9" s="1" t="n"/>
      <c r="L9" s="100" t="inlineStr">
        <is>
          <t>Quarterly Target</t>
        </is>
      </c>
      <c r="N9" s="155" t="n">
        <v>40000</v>
      </c>
      <c r="O9" s="156" t="n">
        <v>38500</v>
      </c>
      <c r="P9" s="80" t="n"/>
      <c r="Q9" s="80" t="n"/>
      <c r="R9" s="80" t="n"/>
      <c r="S9" s="80" t="n"/>
      <c r="T9" s="76" t="n"/>
      <c r="U9" s="1" t="n"/>
    </row>
    <row r="10">
      <c r="A10" s="1" t="n"/>
      <c r="B10" s="151" t="inlineStr">
        <is>
          <t>Affiliate</t>
        </is>
      </c>
      <c r="E10" s="152" t="n">
        <v>2.2</v>
      </c>
      <c r="F10" s="153" t="n">
        <v>320000</v>
      </c>
      <c r="H10" s="154" t="n">
        <v>704</v>
      </c>
      <c r="J10" s="1" t="n"/>
      <c r="K10" s="1" t="n"/>
      <c r="L10" s="100" t="inlineStr">
        <is>
          <t>Annual Target</t>
        </is>
      </c>
      <c r="N10" s="155" t="n">
        <v>150000</v>
      </c>
      <c r="O10" s="156" t="n">
        <v>115800</v>
      </c>
      <c r="P10" s="78" t="n"/>
      <c r="Q10" s="78" t="n"/>
      <c r="R10" s="78" t="n"/>
      <c r="S10" s="76" t="n"/>
      <c r="T10" s="76" t="n"/>
      <c r="U10" s="1" t="n"/>
    </row>
    <row r="11">
      <c r="A11" s="1" t="n"/>
      <c r="B11" s="151" t="inlineStr">
        <is>
          <t>Products</t>
        </is>
      </c>
      <c r="E11" s="152" t="n">
        <v>12.5</v>
      </c>
      <c r="F11" s="153" t="n">
        <v>180000</v>
      </c>
      <c r="H11" s="154" t="n">
        <v>2250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57" t="inlineStr">
        <is>
          <t>BLENDED RPM</t>
        </is>
      </c>
      <c r="E13" s="158">
        <f>SUM(H8:I11)/SUM(F8:G11)*1000</f>
        <v/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21" t="inlineStr">
        <is>
          <t>INCOME STREAM MIX</t>
        </is>
      </c>
      <c r="K16" s="1" t="n"/>
      <c r="L16" s="38" t="inlineStr">
        <is>
          <t>OPTIMIZATION OPPORTUNITIES</t>
        </is>
      </c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159" t="n"/>
      <c r="D18" s="159" t="n"/>
      <c r="E18" s="159" t="n"/>
      <c r="F18" s="159" t="n"/>
      <c r="G18" s="159" t="n"/>
      <c r="H18" s="159" t="n"/>
      <c r="I18" s="159" t="n"/>
      <c r="J18" s="149" t="n"/>
      <c r="K18" s="149" t="n"/>
      <c r="L18" s="160" t="inlineStr">
        <is>
          <t>Increase RPM</t>
        </is>
      </c>
      <c r="N18" s="161" t="inlineStr">
        <is>
          <t>+$2.50 potential with better thumbnails</t>
        </is>
      </c>
      <c r="S18" s="162" t="inlineStr">
        <is>
          <t>High</t>
        </is>
      </c>
      <c r="U18" s="1" t="n"/>
    </row>
    <row r="19">
      <c r="A19" s="1" t="n"/>
      <c r="B19" s="1" t="n"/>
      <c r="C19" s="159" t="n"/>
      <c r="D19" s="159" t="n"/>
      <c r="E19" s="159" t="n"/>
      <c r="F19" s="159" t="n"/>
      <c r="G19" s="159" t="n"/>
      <c r="H19" s="159" t="n"/>
      <c r="I19" s="159" t="n"/>
      <c r="J19" s="149" t="n"/>
      <c r="K19" s="149" t="n"/>
      <c r="L19" s="160" t="inlineStr">
        <is>
          <t>More Sponsors</t>
        </is>
      </c>
      <c r="N19" s="161" t="inlineStr">
        <is>
          <t>+$3K/month with 2 more deals</t>
        </is>
      </c>
      <c r="S19" s="162" t="inlineStr">
        <is>
          <t>High</t>
        </is>
      </c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60" t="inlineStr">
        <is>
          <t>Launch Course</t>
        </is>
      </c>
      <c r="N20" s="161" t="inlineStr">
        <is>
          <t>+$5K/month passive income</t>
        </is>
      </c>
      <c r="S20" s="163" t="inlineStr">
        <is>
          <t>Medium</t>
        </is>
      </c>
      <c r="U20" s="1" t="n"/>
    </row>
    <row r="21">
      <c r="A21" s="1" t="n"/>
      <c r="B21" s="1" t="n"/>
      <c r="C21" s="159" t="n"/>
      <c r="D21" s="164" t="inlineStr">
        <is>
          <t>AdSense (45%)</t>
        </is>
      </c>
      <c r="G21" s="1" t="n"/>
      <c r="H21" s="1" t="n"/>
      <c r="I21" s="1" t="n"/>
      <c r="J21" s="1" t="n"/>
      <c r="K21" s="1" t="n"/>
      <c r="L21" s="160" t="inlineStr">
        <is>
          <t>Affiliate Focus</t>
        </is>
      </c>
      <c r="N21" s="161" t="inlineStr">
        <is>
          <t>+$800/month with better CTAs</t>
        </is>
      </c>
      <c r="S21" s="163" t="inlineStr">
        <is>
          <t>Medium</t>
        </is>
      </c>
      <c r="U21" s="1" t="n"/>
    </row>
    <row r="22">
      <c r="A22" s="1" t="n"/>
      <c r="B22" s="1" t="n"/>
      <c r="C22" s="149" t="n"/>
      <c r="D22" s="164" t="inlineStr">
        <is>
          <t>Sponsors (25%)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3" t="n"/>
      <c r="D23" s="164" t="inlineStr">
        <is>
          <t>Affiliate (12%)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65" t="n"/>
      <c r="D24" s="164" t="inlineStr">
        <is>
          <t>Products (10%)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2" t="n"/>
      <c r="D25" s="164" t="inlineStr">
        <is>
          <t>Other (8%)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</sheetData>
  <mergeCells count="38">
    <mergeCell ref="B11:D11"/>
    <mergeCell ref="F11:G11"/>
    <mergeCell ref="N20:R20"/>
    <mergeCell ref="F10:G10"/>
    <mergeCell ref="S21:T21"/>
    <mergeCell ref="H10:I10"/>
    <mergeCell ref="B8:D8"/>
    <mergeCell ref="B13:D13"/>
    <mergeCell ref="L19:M19"/>
    <mergeCell ref="S18:T18"/>
    <mergeCell ref="H9:I9"/>
    <mergeCell ref="B10:D10"/>
    <mergeCell ref="N21:R21"/>
    <mergeCell ref="L18:M18"/>
    <mergeCell ref="B9:D9"/>
    <mergeCell ref="N18:R18"/>
    <mergeCell ref="L8:M8"/>
    <mergeCell ref="D25:F25"/>
    <mergeCell ref="B6:J6"/>
    <mergeCell ref="F8:G8"/>
    <mergeCell ref="D24:F24"/>
    <mergeCell ref="B3:T3"/>
    <mergeCell ref="H11:I11"/>
    <mergeCell ref="L6:T6"/>
    <mergeCell ref="D23:F23"/>
    <mergeCell ref="L20:M20"/>
    <mergeCell ref="S19:T19"/>
    <mergeCell ref="L10:M10"/>
    <mergeCell ref="N19:R19"/>
    <mergeCell ref="F9:G9"/>
    <mergeCell ref="L9:M9"/>
    <mergeCell ref="B16:J16"/>
    <mergeCell ref="L16:T16"/>
    <mergeCell ref="L21:M21"/>
    <mergeCell ref="S20:T20"/>
    <mergeCell ref="D22:F22"/>
    <mergeCell ref="H8:I8"/>
    <mergeCell ref="D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2026-01-04T00:28:28Z</dcterms:created>
  <dcterms:modified xmlns:dcterms="http://purl.org/dc/terms/" xmlns:xsi="http://www.w3.org/2001/XMLSchema-instance" xsi:type="dcterms:W3CDTF">2026-01-04T00:28:28Z</dcterms:modified>
</cp:coreProperties>
</file>