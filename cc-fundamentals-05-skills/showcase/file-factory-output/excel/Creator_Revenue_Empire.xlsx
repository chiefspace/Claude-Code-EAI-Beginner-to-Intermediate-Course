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Empire" sheetId="1" state="visible" r:id="rId1"/>
    <sheet xmlns:r="http://schemas.openxmlformats.org/officeDocument/2006/relationships" name="Brand Deals" sheetId="2" state="visible" r:id="rId2"/>
    <sheet xmlns:r="http://schemas.openxmlformats.org/officeDocument/2006/relationships" name="Income Mix" sheetId="3" state="visible" r:id="rId3"/>
    <sheet xmlns:r="http://schemas.openxmlformats.org/officeDocument/2006/relationships" name="Growth Projections" sheetId="4" state="visible" r:id="rId4"/>
    <sheet xmlns:r="http://schemas.openxmlformats.org/officeDocument/2006/relationships" name="Freedom Track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0.0%"/>
    <numFmt numFmtId="166" formatCode="0&quot;/100&quot;"/>
  </numFmts>
  <fonts count="60">
    <font>
      <name val="Calibri"/>
      <family val="2"/>
      <color theme="1"/>
      <sz val="11"/>
      <scheme val="minor"/>
    </font>
    <font>
      <b val="1"/>
      <color rgb="00FFFFFF"/>
      <sz val="28"/>
    </font>
    <font>
      <i val="1"/>
      <color rgb="00E65100"/>
      <sz val="11"/>
    </font>
    <font>
      <b val="1"/>
      <color rgb="00E65100"/>
      <sz val="10"/>
    </font>
    <font>
      <b val="1"/>
      <color rgb="00E65100"/>
      <sz val="32"/>
    </font>
    <font>
      <color rgb="0043A047"/>
      <sz val="9"/>
    </font>
    <font>
      <b val="1"/>
      <color rgb="000097A7"/>
      <sz val="10"/>
    </font>
    <font>
      <b val="1"/>
      <color rgb="000097A7"/>
      <sz val="32"/>
    </font>
    <font>
      <color rgb="0000ACC1"/>
      <sz val="9"/>
    </font>
    <font>
      <b val="1"/>
      <color rgb="00388E3C"/>
      <sz val="10"/>
    </font>
    <font>
      <b val="1"/>
      <color rgb="00388E3C"/>
      <sz val="32"/>
    </font>
    <font>
      <b val="1"/>
      <color rgb="007B1FA2"/>
      <sz val="16"/>
    </font>
    <font>
      <b val="1"/>
      <sz val="10"/>
    </font>
    <font>
      <b val="1"/>
    </font>
    <font>
      <i val="1"/>
      <color rgb="00666666"/>
      <sz val="9"/>
    </font>
    <font>
      <color rgb="00888888"/>
      <sz val="9"/>
    </font>
    <font>
      <b val="1"/>
      <color rgb="000097A7"/>
      <sz val="14"/>
    </font>
    <font>
      <b val="1"/>
      <sz val="8"/>
    </font>
    <font>
      <sz val="7"/>
    </font>
    <font>
      <b val="1"/>
      <color rgb="00FFFFFF"/>
      <sz val="24"/>
    </font>
    <font>
      <b val="1"/>
      <color rgb="00FFFFFF"/>
      <sz val="10"/>
    </font>
    <font>
      <color rgb="00FFFFFF"/>
      <sz val="11"/>
    </font>
    <font>
      <color rgb="00FFFFFF"/>
      <sz val="9"/>
    </font>
    <font>
      <b val="1"/>
      <color rgb="007B1FA2"/>
      <sz val="14"/>
    </font>
    <font>
      <b val="1"/>
      <color rgb="00FFFFFF"/>
      <sz val="9"/>
    </font>
    <font>
      <b val="1"/>
      <color rgb="00000000"/>
      <sz val="9"/>
    </font>
    <font>
      <b val="1"/>
      <color rgb="00E65100"/>
      <sz val="14"/>
    </font>
    <font>
      <b val="1"/>
      <sz val="9"/>
    </font>
    <font>
      <b val="1"/>
      <color rgb="00FF6F00"/>
      <sz val="14"/>
    </font>
    <font>
      <b val="1"/>
      <color rgb="00FFFFFF"/>
      <sz val="22"/>
    </font>
    <font>
      <b val="1"/>
      <color rgb="00388E3C"/>
      <sz val="14"/>
    </font>
    <font>
      <b val="1"/>
      <color rgb="00FFFFFF"/>
      <sz val="12"/>
    </font>
    <font>
      <sz val="10"/>
    </font>
    <font>
      <b val="1"/>
      <color rgb="00FF5722"/>
      <sz val="9"/>
    </font>
    <font>
      <i val="1"/>
      <sz val="9"/>
    </font>
    <font>
      <b val="1"/>
      <color rgb="0066BB6A"/>
      <sz val="9"/>
    </font>
    <font>
      <b val="1"/>
      <color rgb="00FFB300"/>
      <sz val="9"/>
    </font>
    <font>
      <b val="1"/>
      <sz val="12"/>
    </font>
    <font>
      <b val="1"/>
      <color rgb="0043A047"/>
      <sz val="28"/>
    </font>
    <font>
      <b val="1"/>
      <color rgb="00FFFFFF"/>
    </font>
    <font>
      <color rgb="00FFFFFF"/>
    </font>
    <font>
      <sz val="9"/>
    </font>
    <font>
      <i val="1"/>
      <color rgb="0043A047"/>
      <sz val="11"/>
    </font>
    <font>
      <b val="1"/>
      <color rgb="0043A047"/>
      <sz val="36"/>
    </font>
    <font>
      <b val="1"/>
      <color rgb="00FF8A65"/>
      <sz val="11"/>
    </font>
    <font>
      <color rgb="00666666"/>
      <sz val="8"/>
    </font>
    <font>
      <b val="1"/>
      <color rgb="00FF8A65"/>
      <sz val="9"/>
    </font>
    <font>
      <b val="1"/>
      <color rgb="00FFB300"/>
      <sz val="11"/>
    </font>
    <font>
      <b val="1"/>
      <color rgb="0066BB6A"/>
      <sz val="11"/>
    </font>
    <font>
      <b val="1"/>
      <color rgb="00FFFFFF"/>
      <sz val="11"/>
    </font>
    <font>
      <color rgb="00FFFFFF"/>
      <sz val="8"/>
    </font>
    <font>
      <b val="1"/>
      <color rgb="00FFFFFF"/>
      <sz val="8"/>
    </font>
    <font>
      <b val="1"/>
      <color rgb="009C27B0"/>
      <sz val="11"/>
    </font>
    <font>
      <b val="1"/>
      <color rgb="009C27B0"/>
      <sz val="9"/>
    </font>
    <font>
      <b val="1"/>
      <color rgb="00D500F9"/>
      <sz val="11"/>
    </font>
    <font>
      <b val="1"/>
      <color rgb="00D500F9"/>
      <sz val="9"/>
    </font>
    <font>
      <b val="1"/>
      <color rgb="0043A047"/>
    </font>
    <font>
      <b val="1"/>
      <color rgb="00F4511E"/>
    </font>
    <font>
      <b val="1"/>
      <color rgb="0000ACC1"/>
    </font>
    <font>
      <b val="1"/>
      <color rgb="0043A047"/>
      <sz val="20"/>
    </font>
  </fonts>
  <fills count="52">
    <fill>
      <patternFill/>
    </fill>
    <fill>
      <patternFill patternType="gray125"/>
    </fill>
    <fill>
      <patternFill patternType="solid">
        <fgColor rgb="00FFF8E1"/>
        <bgColor rgb="00FFF8E1"/>
      </patternFill>
    </fill>
    <fill>
      <patternFill patternType="solid">
        <fgColor rgb="00FFECB3"/>
        <bgColor rgb="00FFECB3"/>
      </patternFill>
    </fill>
    <fill>
      <patternFill patternType="solid">
        <fgColor rgb="00FFD54F"/>
        <bgColor rgb="00FFD54F"/>
      </patternFill>
    </fill>
    <fill>
      <patternFill patternType="solid">
        <fgColor rgb="00FFCA28"/>
        <bgColor rgb="00FFCA28"/>
      </patternFill>
    </fill>
    <fill>
      <patternFill patternType="solid">
        <fgColor rgb="00FFB300"/>
        <bgColor rgb="00FFB300"/>
      </patternFill>
    </fill>
    <fill>
      <patternFill patternType="solid">
        <fgColor rgb="00FF8F00"/>
        <bgColor rgb="00FF8F00"/>
      </patternFill>
    </fill>
    <fill>
      <patternFill patternType="solid">
        <fgColor rgb="00FF6F00"/>
        <bgColor rgb="00FF6F00"/>
      </patternFill>
    </fill>
    <fill>
      <patternFill patternType="solid">
        <fgColor rgb="00E65100"/>
        <bgColor rgb="00E65100"/>
      </patternFill>
    </fill>
    <fill>
      <patternFill patternType="solid">
        <fgColor rgb="00B2EBF2"/>
        <bgColor rgb="00B2EBF2"/>
      </patternFill>
    </fill>
    <fill>
      <patternFill patternType="solid">
        <fgColor rgb="004DD0E1"/>
        <bgColor rgb="004DD0E1"/>
      </patternFill>
    </fill>
    <fill>
      <patternFill patternType="solid">
        <fgColor rgb="00C8E6C9"/>
        <bgColor rgb="00C8E6C9"/>
      </patternFill>
    </fill>
    <fill>
      <patternFill patternType="solid">
        <fgColor rgb="0081C784"/>
        <bgColor rgb="0081C784"/>
      </patternFill>
    </fill>
    <fill>
      <patternFill patternType="solid">
        <fgColor rgb="00F3E5F5"/>
        <bgColor rgb="00F3E5F5"/>
      </patternFill>
    </fill>
    <fill>
      <patternFill patternType="solid">
        <fgColor rgb="00E1BEE7"/>
        <bgColor rgb="00E1BEE7"/>
      </patternFill>
    </fill>
    <fill>
      <patternFill patternType="solid">
        <fgColor rgb="00CE93D8"/>
        <bgColor rgb="00CE93D8"/>
      </patternFill>
    </fill>
    <fill>
      <patternFill patternType="solid">
        <fgColor rgb="00BA68C8"/>
        <bgColor rgb="00BA68C8"/>
      </patternFill>
    </fill>
    <fill>
      <patternFill patternType="solid">
        <fgColor rgb="00AB47BC"/>
        <bgColor rgb="00AB47BC"/>
      </patternFill>
    </fill>
    <fill>
      <patternFill patternType="solid">
        <fgColor rgb="009C27B0"/>
        <bgColor rgb="009C27B0"/>
      </patternFill>
    </fill>
    <fill>
      <patternFill patternType="solid">
        <fgColor rgb="008E24AA"/>
        <bgColor rgb="008E24AA"/>
      </patternFill>
    </fill>
    <fill>
      <patternFill patternType="solid">
        <fgColor rgb="007B1FA2"/>
        <bgColor rgb="007B1FA2"/>
      </patternFill>
    </fill>
    <fill>
      <patternFill patternType="solid">
        <fgColor rgb="00FF0000"/>
        <bgColor rgb="00FF0000"/>
      </patternFill>
    </fill>
    <fill>
      <patternFill patternType="solid">
        <fgColor rgb="0000E676"/>
        <bgColor rgb="0000E676"/>
      </patternFill>
    </fill>
    <fill>
      <patternFill patternType="solid">
        <fgColor rgb="00D500F9"/>
        <bgColor rgb="00D500F9"/>
      </patternFill>
    </fill>
    <fill>
      <patternFill patternType="solid">
        <fgColor rgb="00FF4081"/>
        <bgColor rgb="00FF4081"/>
      </patternFill>
    </fill>
    <fill>
      <patternFill patternType="solid">
        <fgColor rgb="0000BCD4"/>
        <bgColor rgb="0000BCD4"/>
      </patternFill>
    </fill>
    <fill>
      <patternFill patternType="solid">
        <fgColor rgb="001DB954"/>
        <bgColor rgb="001DB954"/>
      </patternFill>
    </fill>
    <fill>
      <patternFill patternType="solid">
        <fgColor rgb="009146FF"/>
        <bgColor rgb="009146FF"/>
      </patternFill>
    </fill>
    <fill>
      <patternFill patternType="solid">
        <fgColor rgb="00E0F7FA"/>
        <bgColor rgb="00E0F7FA"/>
      </patternFill>
    </fill>
    <fill>
      <patternFill patternType="solid">
        <fgColor rgb="000097A7"/>
        <bgColor rgb="000097A7"/>
      </patternFill>
    </fill>
    <fill>
      <patternFill patternType="solid">
        <fgColor rgb="0000ACC1"/>
        <bgColor rgb="0000ACC1"/>
      </patternFill>
    </fill>
    <fill>
      <patternFill patternType="solid">
        <fgColor rgb="0026C6DA"/>
        <bgColor rgb="0026C6DA"/>
      </patternFill>
    </fill>
    <fill>
      <patternFill patternType="solid">
        <fgColor rgb="0080DEEA"/>
        <bgColor rgb="0080DEEA"/>
      </patternFill>
    </fill>
    <fill>
      <patternFill patternType="solid">
        <fgColor rgb="004CAF50"/>
        <bgColor rgb="004CAF50"/>
      </patternFill>
    </fill>
    <fill>
      <patternFill patternType="solid">
        <fgColor rgb="0066BB6A"/>
        <bgColor rgb="0066BB6A"/>
      </patternFill>
    </fill>
    <fill>
      <patternFill patternType="solid">
        <fgColor rgb="0043A047"/>
        <bgColor rgb="0043A047"/>
      </patternFill>
    </fill>
    <fill>
      <patternFill patternType="solid">
        <fgColor rgb="00E1306C"/>
        <bgColor rgb="00E1306C"/>
      </patternFill>
    </fill>
    <fill>
      <patternFill patternType="solid">
        <fgColor rgb="0090A4AE"/>
        <bgColor rgb="0090A4AE"/>
      </patternFill>
    </fill>
    <fill>
      <patternFill patternType="solid">
        <fgColor rgb="00E8F5E9"/>
        <bgColor rgb="00E8F5E9"/>
      </patternFill>
    </fill>
    <fill>
      <patternFill patternType="solid">
        <fgColor rgb="00A5D6A7"/>
        <bgColor rgb="00A5D6A7"/>
      </patternFill>
    </fill>
    <fill>
      <patternFill patternType="solid">
        <fgColor rgb="00388E3C"/>
        <bgColor rgb="00388E3C"/>
      </patternFill>
    </fill>
    <fill>
      <patternFill patternType="solid">
        <fgColor rgb="00FF5722"/>
        <bgColor rgb="00FF5722"/>
      </patternFill>
    </fill>
    <fill>
      <patternFill patternType="solid">
        <fgColor rgb="00EEEEEE"/>
        <bgColor rgb="00EEEEEE"/>
      </patternFill>
    </fill>
    <fill>
      <patternFill patternType="solid">
        <fgColor rgb="0078909C"/>
        <bgColor rgb="0078909C"/>
      </patternFill>
    </fill>
    <fill>
      <patternFill patternType="solid">
        <fgColor rgb="00ECEFF1"/>
        <bgColor rgb="00ECEFF1"/>
      </patternFill>
    </fill>
    <fill>
      <patternFill patternType="solid">
        <fgColor rgb="00CFD8DC"/>
        <bgColor rgb="00CFD8DC"/>
      </patternFill>
    </fill>
    <fill>
      <patternFill patternType="solid">
        <fgColor rgb="00B0BEC5"/>
        <bgColor rgb="00B0BEC5"/>
      </patternFill>
    </fill>
    <fill>
      <patternFill patternType="solid">
        <fgColor rgb="00607D8B"/>
        <bgColor rgb="00607D8B"/>
      </patternFill>
    </fill>
    <fill>
      <patternFill patternType="solid">
        <fgColor rgb="00FF6D00"/>
        <bgColor rgb="00FF6D00"/>
      </patternFill>
    </fill>
    <fill>
      <patternFill patternType="solid">
        <fgColor rgb="00FF8A65"/>
        <bgColor rgb="00FF8A65"/>
      </patternFill>
    </fill>
    <fill>
      <patternFill patternType="solid">
        <fgColor rgb="00FFFFFF"/>
        <bgColor rgb="00FFFFFF"/>
      </patternFill>
    </fill>
  </fills>
  <borders count="21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/>
      <top style="thin">
        <color rgb="00E0E0E0"/>
      </top>
      <bottom style="thin">
        <color rgb="00E0E0E0"/>
      </bottom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  <border>
      <left style="thin">
        <color rgb="00E0E0E0"/>
      </left>
      <right/>
      <top/>
      <bottom/>
      <diagonal/>
    </border>
    <border>
      <left/>
      <right style="thin">
        <color rgb="00E0E0E0"/>
      </right>
      <top/>
      <bottom/>
      <diagonal/>
    </border>
    <border>
      <left style="thin">
        <color rgb="00E0E0E0"/>
      </left>
      <right/>
      <top/>
      <bottom style="thin">
        <color rgb="00E0E0E0"/>
      </bottom>
      <diagonal/>
    </border>
    <border>
      <left/>
      <right/>
      <top/>
      <bottom style="thin">
        <color rgb="00E0E0E0"/>
      </bottom>
      <diagonal/>
    </border>
    <border>
      <left/>
      <right style="thin">
        <color rgb="00E0E0E0"/>
      </right>
      <top/>
      <bottom style="thin">
        <color rgb="00E0E0E0"/>
      </bottom>
      <diagonal/>
    </border>
    <border>
      <left style="thin">
        <color rgb="00FFFFFF"/>
      </left>
      <right style="thin">
        <color rgb="00FFFFFF"/>
      </right>
    </border>
    <border>
      <left style="medium">
        <color rgb="009C27B0"/>
      </left>
      <right style="medium">
        <color rgb="009C27B0"/>
      </right>
      <top style="medium">
        <color rgb="009C27B0"/>
      </top>
      <bottom style="medium">
        <color rgb="009C27B0"/>
      </bottom>
    </border>
    <border>
      <left style="thick">
        <color rgb="00FFB300"/>
      </left>
      <right style="thick">
        <color rgb="00FFB300"/>
      </right>
      <top style="thick">
        <color rgb="00FFB300"/>
      </top>
      <bottom style="thick">
        <color rgb="00FFB300"/>
      </bottom>
    </border>
    <border>
      <left/>
      <right/>
      <top style="thick">
        <color rgb="00FFB300"/>
      </top>
      <bottom/>
      <diagonal/>
    </border>
    <border>
      <left/>
      <right style="thick">
        <color rgb="00FFB300"/>
      </right>
      <top style="thick">
        <color rgb="00FFB300"/>
      </top>
      <bottom/>
      <diagonal/>
    </border>
    <border>
      <left/>
      <right style="thick">
        <color rgb="00FFB300"/>
      </right>
      <top style="thick">
        <color rgb="00FFB300"/>
      </top>
      <bottom style="thick">
        <color rgb="00FFB300"/>
      </bottom>
      <diagonal/>
    </border>
    <border>
      <left style="thick">
        <color rgb="00FFB300"/>
      </left>
      <right/>
      <top/>
      <bottom/>
      <diagonal/>
    </border>
    <border>
      <left/>
      <right style="thick">
        <color rgb="00FFB300"/>
      </right>
      <top/>
      <bottom/>
      <diagonal/>
    </border>
    <border>
      <left style="thick">
        <color rgb="00FFB300"/>
      </left>
      <right/>
      <top/>
      <bottom style="thick">
        <color rgb="00FFB300"/>
      </bottom>
      <diagonal/>
    </border>
    <border>
      <left/>
      <right style="thick">
        <color rgb="00FFB300"/>
      </right>
      <top/>
      <bottom style="thick">
        <color rgb="00FFB300"/>
      </bottom>
      <diagonal/>
    </border>
  </borders>
  <cellStyleXfs count="1">
    <xf numFmtId="0" fontId="0" fillId="0" borderId="0"/>
  </cellStyleXfs>
  <cellXfs count="21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1" fillId="8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6" fillId="10" borderId="1" applyAlignment="1" pivotButton="0" quotePrefix="0" xfId="0">
      <alignment horizontal="center"/>
    </xf>
    <xf numFmtId="0" fontId="9" fillId="12" borderId="1" applyAlignment="1" pivotButton="0" quotePrefix="0" xfId="0">
      <alignment horizontal="center"/>
    </xf>
    <xf numFmtId="164" fontId="4" fillId="3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164" fontId="7" fillId="10" borderId="1" applyAlignment="1" pivotButton="0" quotePrefix="0" xfId="0">
      <alignment horizontal="center" vertical="center"/>
    </xf>
    <xf numFmtId="0" fontId="0" fillId="11" borderId="0" pivotButton="0" quotePrefix="0" xfId="0"/>
    <xf numFmtId="164" fontId="10" fillId="12" borderId="1" applyAlignment="1" pivotButton="0" quotePrefix="0" xfId="0">
      <alignment horizontal="center" vertical="center"/>
    </xf>
    <xf numFmtId="0" fontId="0" fillId="13" borderId="0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5" fillId="3" borderId="1" applyAlignment="1" pivotButton="0" quotePrefix="0" xfId="0">
      <alignment horizontal="center"/>
    </xf>
    <xf numFmtId="0" fontId="8" fillId="10" borderId="1" applyAlignment="1" pivotButton="0" quotePrefix="0" xfId="0">
      <alignment horizontal="center"/>
    </xf>
    <xf numFmtId="0" fontId="5" fillId="12" borderId="1" applyAlignment="1" pivotButton="0" quotePrefix="0" xfId="0">
      <alignment horizontal="center"/>
    </xf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  <xf numFmtId="0" fontId="11" fillId="14" borderId="0" applyAlignment="1" pivotButton="0" quotePrefix="0" xfId="0">
      <alignment horizontal="center"/>
    </xf>
    <xf numFmtId="0" fontId="12" fillId="0" borderId="0" applyAlignment="1" pivotButton="0" quotePrefix="0" xfId="0">
      <alignment vertical="center"/>
    </xf>
    <xf numFmtId="0" fontId="0" fillId="22" borderId="0" pivotButton="0" quotePrefix="0" xfId="0"/>
    <xf numFmtId="164" fontId="13" fillId="0" borderId="0" pivotButton="0" quotePrefix="0" xfId="0"/>
    <xf numFmtId="0" fontId="14" fillId="0" borderId="0" pivotButton="0" quotePrefix="0" xfId="0"/>
    <xf numFmtId="165" fontId="15" fillId="0" borderId="0" pivotButton="0" quotePrefix="0" xfId="0"/>
    <xf numFmtId="164" fontId="14" fillId="0" borderId="0" pivotButton="0" quotePrefix="0" xfId="0"/>
    <xf numFmtId="0" fontId="0" fillId="23" borderId="0" pivotButton="0" quotePrefix="0" xfId="0"/>
    <xf numFmtId="0" fontId="0" fillId="24" borderId="0" pivotButton="0" quotePrefix="0" xfId="0"/>
    <xf numFmtId="0" fontId="0" fillId="25" borderId="0" pivotButton="0" quotePrefix="0" xfId="0"/>
    <xf numFmtId="0" fontId="0" fillId="26" borderId="0" pivotButton="0" quotePrefix="0" xfId="0"/>
    <xf numFmtId="0" fontId="0" fillId="27" borderId="0" pivotButton="0" quotePrefix="0" xfId="0"/>
    <xf numFmtId="0" fontId="0" fillId="28" borderId="0" pivotButton="0" quotePrefix="0" xfId="0"/>
    <xf numFmtId="0" fontId="16" fillId="29" borderId="0" applyAlignment="1" pivotButton="0" quotePrefix="0" xfId="0">
      <alignment horizontal="center"/>
    </xf>
    <xf numFmtId="0" fontId="17" fillId="0" borderId="0" applyAlignment="1" pivotButton="0" quotePrefix="0" xfId="0">
      <alignment horizontal="center"/>
    </xf>
    <xf numFmtId="0" fontId="0" fillId="29" borderId="0" pivotButton="0" quotePrefix="0" xfId="0"/>
    <xf numFmtId="0" fontId="0" fillId="10" borderId="0" pivotButton="0" quotePrefix="0" xfId="0"/>
    <xf numFmtId="0" fontId="0" fillId="33" borderId="0" pivotButton="0" quotePrefix="0" xfId="0"/>
    <xf numFmtId="0" fontId="0" fillId="32" borderId="0" pivotButton="0" quotePrefix="0" xfId="0"/>
    <xf numFmtId="0" fontId="0" fillId="31" borderId="0" pivotButton="0" quotePrefix="0" xfId="0"/>
    <xf numFmtId="0" fontId="0" fillId="30" borderId="0" pivotButton="0" quotePrefix="0" xfId="0"/>
    <xf numFmtId="3" fontId="18" fillId="0" borderId="0" applyAlignment="1" pivotButton="0" quotePrefix="0" xfId="0">
      <alignment horizontal="center"/>
    </xf>
    <xf numFmtId="0" fontId="19" fillId="20" borderId="0" applyAlignment="1" pivotButton="0" quotePrefix="0" xfId="0">
      <alignment horizontal="center" vertical="center"/>
    </xf>
    <xf numFmtId="0" fontId="20" fillId="16" borderId="1" applyAlignment="1" pivotButton="0" quotePrefix="0" xfId="0">
      <alignment horizontal="center"/>
    </xf>
    <xf numFmtId="0" fontId="20" fillId="18" borderId="1" applyAlignment="1" pivotButton="0" quotePrefix="0" xfId="0">
      <alignment horizontal="center"/>
    </xf>
    <xf numFmtId="0" fontId="20" fillId="19" borderId="1" applyAlignment="1" pivotButton="0" quotePrefix="0" xfId="0">
      <alignment horizontal="center"/>
    </xf>
    <xf numFmtId="0" fontId="20" fillId="20" borderId="1" applyAlignment="1" pivotButton="0" quotePrefix="0" xfId="0">
      <alignment horizontal="center"/>
    </xf>
    <xf numFmtId="0" fontId="20" fillId="34" borderId="1" applyAlignment="1" pivotButton="0" quotePrefix="0" xfId="0">
      <alignment horizontal="center"/>
    </xf>
    <xf numFmtId="0" fontId="1" fillId="16" borderId="1" applyAlignment="1" pivotButton="0" quotePrefix="0" xfId="0">
      <alignment horizontal="center" vertical="center"/>
    </xf>
    <xf numFmtId="0" fontId="1" fillId="18" borderId="1" applyAlignment="1" pivotButton="0" quotePrefix="0" xfId="0">
      <alignment horizontal="center" vertical="center"/>
    </xf>
    <xf numFmtId="0" fontId="1" fillId="19" borderId="1" applyAlignment="1" pivotButton="0" quotePrefix="0" xfId="0">
      <alignment horizontal="center" vertical="center"/>
    </xf>
    <xf numFmtId="0" fontId="1" fillId="20" borderId="1" applyAlignment="1" pivotButton="0" quotePrefix="0" xfId="0">
      <alignment horizontal="center" vertical="center"/>
    </xf>
    <xf numFmtId="0" fontId="1" fillId="34" borderId="1" applyAlignment="1" pivotButton="0" quotePrefix="0" xfId="0">
      <alignment horizontal="center" vertical="center"/>
    </xf>
    <xf numFmtId="164" fontId="21" fillId="16" borderId="1" applyAlignment="1" pivotButton="0" quotePrefix="0" xfId="0">
      <alignment horizontal="center"/>
    </xf>
    <xf numFmtId="164" fontId="21" fillId="18" borderId="1" applyAlignment="1" pivotButton="0" quotePrefix="0" xfId="0">
      <alignment horizontal="center"/>
    </xf>
    <xf numFmtId="164" fontId="21" fillId="19" borderId="1" applyAlignment="1" pivotButton="0" quotePrefix="0" xfId="0">
      <alignment horizontal="center"/>
    </xf>
    <xf numFmtId="164" fontId="21" fillId="20" borderId="1" applyAlignment="1" pivotButton="0" quotePrefix="0" xfId="0">
      <alignment horizontal="center"/>
    </xf>
    <xf numFmtId="164" fontId="21" fillId="34" borderId="1" applyAlignment="1" pivotButton="0" quotePrefix="0" xfId="0">
      <alignment horizontal="center"/>
    </xf>
    <xf numFmtId="0" fontId="22" fillId="16" borderId="1" applyAlignment="1" pivotButton="0" quotePrefix="0" xfId="0">
      <alignment horizontal="center"/>
    </xf>
    <xf numFmtId="0" fontId="22" fillId="18" borderId="1" applyAlignment="1" pivotButton="0" quotePrefix="0" xfId="0">
      <alignment horizontal="center"/>
    </xf>
    <xf numFmtId="0" fontId="22" fillId="19" borderId="1" applyAlignment="1" pivotButton="0" quotePrefix="0" xfId="0">
      <alignment horizontal="center"/>
    </xf>
    <xf numFmtId="0" fontId="22" fillId="20" borderId="1" applyAlignment="1" pivotButton="0" quotePrefix="0" xfId="0">
      <alignment horizontal="center"/>
    </xf>
    <xf numFmtId="0" fontId="22" fillId="34" borderId="1" applyAlignment="1" pivotButton="0" quotePrefix="0" xfId="0">
      <alignment horizontal="center"/>
    </xf>
    <xf numFmtId="0" fontId="23" fillId="14" borderId="0" applyAlignment="1" pivotButton="0" quotePrefix="0" xfId="0">
      <alignment horizontal="center"/>
    </xf>
    <xf numFmtId="0" fontId="24" fillId="20" borderId="1" applyAlignment="1" pivotButton="0" quotePrefix="0" xfId="0">
      <alignment horizontal="center"/>
    </xf>
    <xf numFmtId="0" fontId="13" fillId="0" borderId="1" pivotButton="0" quotePrefix="0" xfId="0"/>
    <xf numFmtId="0" fontId="0" fillId="0" borderId="1" pivotButton="0" quotePrefix="0" xfId="0"/>
    <xf numFmtId="0" fontId="24" fillId="22" borderId="1" applyAlignment="1" pivotButton="0" quotePrefix="0" xfId="0">
      <alignment horizontal="center"/>
    </xf>
    <xf numFmtId="164" fontId="13" fillId="0" borderId="1" pivotButton="0" quotePrefix="0" xfId="0"/>
    <xf numFmtId="0" fontId="24" fillId="35" borderId="1" applyAlignment="1" pivotButton="0" quotePrefix="0" xfId="0">
      <alignment horizontal="center"/>
    </xf>
    <xf numFmtId="9" fontId="0" fillId="0" borderId="1" pivotButton="0" quotePrefix="0" xfId="0"/>
    <xf numFmtId="0" fontId="24" fillId="19" borderId="1" applyAlignment="1" pivotButton="0" quotePrefix="0" xfId="0">
      <alignment horizontal="center"/>
    </xf>
    <xf numFmtId="0" fontId="24" fillId="36" borderId="1" applyAlignment="1" pivotButton="0" quotePrefix="0" xfId="0">
      <alignment horizontal="center"/>
    </xf>
    <xf numFmtId="0" fontId="24" fillId="32" borderId="1" applyAlignment="1" pivotButton="0" quotePrefix="0" xfId="0">
      <alignment horizontal="center"/>
    </xf>
    <xf numFmtId="0" fontId="24" fillId="18" borderId="1" applyAlignment="1" pivotButton="0" quotePrefix="0" xfId="0">
      <alignment horizontal="center"/>
    </xf>
    <xf numFmtId="0" fontId="24" fillId="37" borderId="1" applyAlignment="1" pivotButton="0" quotePrefix="0" xfId="0">
      <alignment horizontal="center"/>
    </xf>
    <xf numFmtId="0" fontId="24" fillId="6" borderId="1" applyAlignment="1" pivotButton="0" quotePrefix="0" xfId="0">
      <alignment horizontal="center"/>
    </xf>
    <xf numFmtId="0" fontId="25" fillId="26" borderId="1" applyAlignment="1" pivotButton="0" quotePrefix="0" xfId="0">
      <alignment horizontal="center"/>
    </xf>
    <xf numFmtId="49" fontId="13" fillId="0" borderId="1" pivotButton="0" quotePrefix="0" xfId="0"/>
    <xf numFmtId="0" fontId="24" fillId="38" borderId="1" applyAlignment="1" pivotButton="0" quotePrefix="0" xfId="0">
      <alignment horizontal="center"/>
    </xf>
    <xf numFmtId="0" fontId="24" fillId="28" borderId="1" applyAlignment="1" pivotButton="0" quotePrefix="0" xfId="0">
      <alignment horizontal="center"/>
    </xf>
    <xf numFmtId="0" fontId="26" fillId="2" borderId="0" applyAlignment="1" pivotButton="0" quotePrefix="0" xfId="0">
      <alignment horizontal="center"/>
    </xf>
    <xf numFmtId="0" fontId="27" fillId="0" borderId="0" pivotButton="0" quotePrefix="0" xfId="0"/>
    <xf numFmtId="164" fontId="28" fillId="0" borderId="0" pivotButton="0" quotePrefix="0" xfId="0"/>
    <xf numFmtId="1" fontId="28" fillId="0" borderId="0" pivotButton="0" quotePrefix="0" xfId="0"/>
    <xf numFmtId="9" fontId="28" fillId="0" borderId="0" pivotButton="0" quotePrefix="0" xfId="0"/>
    <xf numFmtId="0" fontId="0" fillId="39" borderId="0" pivotButton="0" quotePrefix="0" xfId="0"/>
    <xf numFmtId="0" fontId="0" fillId="12" borderId="0" pivotButton="0" quotePrefix="0" xfId="0"/>
    <xf numFmtId="0" fontId="0" fillId="40" borderId="0" pivotButton="0" quotePrefix="0" xfId="0"/>
    <xf numFmtId="0" fontId="0" fillId="35" borderId="0" pivotButton="0" quotePrefix="0" xfId="0"/>
    <xf numFmtId="0" fontId="0" fillId="34" borderId="0" pivotButton="0" quotePrefix="0" xfId="0"/>
    <xf numFmtId="0" fontId="0" fillId="36" borderId="0" pivotButton="0" quotePrefix="0" xfId="0"/>
    <xf numFmtId="0" fontId="0" fillId="41" borderId="0" pivotButton="0" quotePrefix="0" xfId="0"/>
    <xf numFmtId="0" fontId="29" fillId="36" borderId="0" applyAlignment="1" pivotButton="0" quotePrefix="0" xfId="0">
      <alignment horizontal="center"/>
    </xf>
    <xf numFmtId="0" fontId="30" fillId="39" borderId="0" pivotButton="0" quotePrefix="0" xfId="0"/>
    <xf numFmtId="0" fontId="16" fillId="29" borderId="0" pivotButton="0" quotePrefix="0" xfId="0"/>
    <xf numFmtId="0" fontId="31" fillId="42" borderId="0" applyAlignment="1" pivotButton="0" quotePrefix="0" xfId="0">
      <alignment horizontal="center"/>
    </xf>
    <xf numFmtId="0" fontId="32" fillId="0" borderId="1" pivotButton="0" quotePrefix="0" xfId="0"/>
    <xf numFmtId="0" fontId="0" fillId="42" borderId="0" pivotButton="0" quotePrefix="0" xfId="0"/>
    <xf numFmtId="0" fontId="33" fillId="0" borderId="1" applyAlignment="1" pivotButton="0" quotePrefix="0" xfId="0">
      <alignment horizontal="center"/>
    </xf>
    <xf numFmtId="0" fontId="34" fillId="0" borderId="0" pivotButton="0" quotePrefix="0" xfId="0"/>
    <xf numFmtId="0" fontId="35" fillId="0" borderId="1" applyAlignment="1" pivotButton="0" quotePrefix="0" xfId="0">
      <alignment horizontal="center"/>
    </xf>
    <xf numFmtId="0" fontId="36" fillId="0" borderId="1" applyAlignment="1" pivotButton="0" quotePrefix="0" xfId="0">
      <alignment horizontal="center"/>
    </xf>
    <xf numFmtId="0" fontId="32" fillId="0" borderId="0" pivotButton="0" quotePrefix="0" xfId="0"/>
    <xf numFmtId="0" fontId="23" fillId="14" borderId="0" pivotButton="0" quotePrefix="0" xfId="0"/>
    <xf numFmtId="0" fontId="31" fillId="34" borderId="0" applyAlignment="1" pivotButton="0" quotePrefix="0" xfId="0">
      <alignment horizontal="center"/>
    </xf>
    <xf numFmtId="0" fontId="0" fillId="34" borderId="11" pivotButton="0" quotePrefix="0" xfId="0"/>
    <xf numFmtId="0" fontId="0" fillId="43" borderId="11" pivotButton="0" quotePrefix="0" xfId="0"/>
    <xf numFmtId="0" fontId="0" fillId="26" borderId="11" pivotButton="0" quotePrefix="0" xfId="0"/>
    <xf numFmtId="0" fontId="0" fillId="6" borderId="11" pivotButton="0" quotePrefix="0" xfId="0"/>
    <xf numFmtId="0" fontId="0" fillId="19" borderId="11" pivotButton="0" quotePrefix="0" xfId="0"/>
    <xf numFmtId="0" fontId="37" fillId="0" borderId="0" pivotButton="0" quotePrefix="0" xfId="0"/>
    <xf numFmtId="166" fontId="38" fillId="0" borderId="0" applyAlignment="1" pivotButton="0" quotePrefix="0" xfId="0">
      <alignment horizontal="center"/>
    </xf>
    <xf numFmtId="0" fontId="29" fillId="31" borderId="0" applyAlignment="1" pivotButton="0" quotePrefix="0" xfId="0">
      <alignment horizontal="center"/>
    </xf>
    <xf numFmtId="0" fontId="12" fillId="33" borderId="1" applyAlignment="1" pivotButton="0" quotePrefix="0" xfId="0">
      <alignment horizontal="center"/>
    </xf>
    <xf numFmtId="0" fontId="39" fillId="44" borderId="0" applyAlignment="1" pivotButton="0" quotePrefix="0" xfId="0">
      <alignment horizontal="center"/>
    </xf>
    <xf numFmtId="164" fontId="0" fillId="45" borderId="1" pivotButton="0" quotePrefix="0" xfId="0"/>
    <xf numFmtId="164" fontId="0" fillId="46" borderId="1" pivotButton="0" quotePrefix="0" xfId="0"/>
    <xf numFmtId="164" fontId="0" fillId="47" borderId="1" pivotButton="0" quotePrefix="0" xfId="0"/>
    <xf numFmtId="164" fontId="40" fillId="38" borderId="1" pivotButton="0" quotePrefix="0" xfId="0"/>
    <xf numFmtId="164" fontId="40" fillId="44" borderId="1" pivotButton="0" quotePrefix="0" xfId="0"/>
    <xf numFmtId="164" fontId="40" fillId="48" borderId="1" pivotButton="0" quotePrefix="0" xfId="0"/>
    <xf numFmtId="0" fontId="39" fillId="26" borderId="0" applyAlignment="1" pivotButton="0" quotePrefix="0" xfId="0">
      <alignment horizontal="center"/>
    </xf>
    <xf numFmtId="164" fontId="0" fillId="29" borderId="1" pivotButton="0" quotePrefix="0" xfId="0"/>
    <xf numFmtId="164" fontId="0" fillId="10" borderId="1" pivotButton="0" quotePrefix="0" xfId="0"/>
    <xf numFmtId="164" fontId="0" fillId="33" borderId="1" pivotButton="0" quotePrefix="0" xfId="0"/>
    <xf numFmtId="164" fontId="0" fillId="11" borderId="1" pivotButton="0" quotePrefix="0" xfId="0"/>
    <xf numFmtId="164" fontId="39" fillId="32" borderId="1" pivotButton="0" quotePrefix="0" xfId="0"/>
    <xf numFmtId="164" fontId="39" fillId="26" borderId="1" pivotButton="0" quotePrefix="0" xfId="0"/>
    <xf numFmtId="0" fontId="39" fillId="34" borderId="0" applyAlignment="1" pivotButton="0" quotePrefix="0" xfId="0">
      <alignment horizontal="center"/>
    </xf>
    <xf numFmtId="164" fontId="0" fillId="39" borderId="1" pivotButton="0" quotePrefix="0" xfId="0"/>
    <xf numFmtId="164" fontId="0" fillId="12" borderId="1" pivotButton="0" quotePrefix="0" xfId="0"/>
    <xf numFmtId="164" fontId="0" fillId="40" borderId="1" pivotButton="0" quotePrefix="0" xfId="0"/>
    <xf numFmtId="164" fontId="0" fillId="13" borderId="1" pivotButton="0" quotePrefix="0" xfId="0"/>
    <xf numFmtId="164" fontId="39" fillId="35" borderId="1" pivotButton="0" quotePrefix="0" xfId="0"/>
    <xf numFmtId="164" fontId="39" fillId="34" borderId="1" pivotButton="0" quotePrefix="0" xfId="0"/>
    <xf numFmtId="0" fontId="26" fillId="2" borderId="0" pivotButton="0" quotePrefix="0" xfId="0"/>
    <xf numFmtId="0" fontId="0" fillId="18" borderId="12" pivotButton="0" quotePrefix="0" xfId="0"/>
    <xf numFmtId="0" fontId="0" fillId="6" borderId="12" pivotButton="0" quotePrefix="0" xfId="0"/>
    <xf numFmtId="0" fontId="0" fillId="19" borderId="12" pivotButton="0" quotePrefix="0" xfId="0"/>
    <xf numFmtId="0" fontId="0" fillId="34" borderId="12" pivotButton="0" quotePrefix="0" xfId="0"/>
    <xf numFmtId="0" fontId="0" fillId="26" borderId="12" pivotButton="0" quotePrefix="0" xfId="0"/>
    <xf numFmtId="0" fontId="0" fillId="42" borderId="12" pivotButton="0" quotePrefix="0" xfId="0"/>
    <xf numFmtId="0" fontId="0" fillId="25" borderId="12" pivotButton="0" quotePrefix="0" xfId="0"/>
    <xf numFmtId="0" fontId="0" fillId="47" borderId="0" pivotButton="0" quotePrefix="0" xfId="0"/>
    <xf numFmtId="0" fontId="41" fillId="0" borderId="0" applyAlignment="1" pivotButton="0" quotePrefix="0" xfId="0">
      <alignment horizontal="center"/>
    </xf>
    <xf numFmtId="9" fontId="13" fillId="0" borderId="0" pivotButton="0" quotePrefix="0" xfId="0"/>
    <xf numFmtId="0" fontId="0" fillId="49" borderId="0" pivotButton="0" quotePrefix="0" xfId="0"/>
    <xf numFmtId="0" fontId="19" fillId="36" borderId="0" applyAlignment="1" pivotButton="0" quotePrefix="0" xfId="0">
      <alignment horizontal="center"/>
    </xf>
    <xf numFmtId="0" fontId="42" fillId="39" borderId="0" applyAlignment="1" pivotButton="0" quotePrefix="0" xfId="0">
      <alignment horizontal="center"/>
    </xf>
    <xf numFmtId="0" fontId="0" fillId="3" borderId="1" pivotButton="0" quotePrefix="0" xfId="0"/>
    <xf numFmtId="0" fontId="0" fillId="43" borderId="1" pivotButton="0" quotePrefix="0" xfId="0"/>
    <xf numFmtId="9" fontId="13" fillId="0" borderId="1" pivotButton="0" quotePrefix="0" xfId="0"/>
    <xf numFmtId="0" fontId="0" fillId="4" borderId="1" pivotButton="0" quotePrefix="0" xfId="0"/>
    <xf numFmtId="0" fontId="0" fillId="32" borderId="1" pivotButton="0" quotePrefix="0" xfId="0"/>
    <xf numFmtId="0" fontId="0" fillId="5" borderId="1" pivotButton="0" quotePrefix="0" xfId="0"/>
    <xf numFmtId="1" fontId="13" fillId="0" borderId="1" pivotButton="0" quotePrefix="0" xfId="0"/>
    <xf numFmtId="0" fontId="0" fillId="26" borderId="1" pivotButton="0" quotePrefix="0" xfId="0"/>
    <xf numFmtId="0" fontId="0" fillId="6" borderId="1" pivotButton="0" quotePrefix="0" xfId="0"/>
    <xf numFmtId="0" fontId="0" fillId="31" borderId="1" pivotButton="0" quotePrefix="0" xfId="0"/>
    <xf numFmtId="0" fontId="0" fillId="7" borderId="1" pivotButton="0" quotePrefix="0" xfId="0"/>
    <xf numFmtId="0" fontId="31" fillId="36" borderId="0" applyAlignment="1" pivotButton="0" quotePrefix="0" xfId="0">
      <alignment horizontal="center"/>
    </xf>
    <xf numFmtId="164" fontId="43" fillId="0" borderId="0" applyAlignment="1" pivotButton="0" quotePrefix="0" xfId="0">
      <alignment horizontal="center" vertical="center"/>
    </xf>
    <xf numFmtId="0" fontId="20" fillId="50" borderId="1" applyAlignment="1" pivotButton="0" quotePrefix="0" xfId="0">
      <alignment horizontal="center"/>
    </xf>
    <xf numFmtId="0" fontId="20" fillId="6" borderId="1" applyAlignment="1" pivotButton="0" quotePrefix="0" xfId="0">
      <alignment horizontal="center"/>
    </xf>
    <xf numFmtId="0" fontId="20" fillId="35" borderId="1" applyAlignment="1" pivotButton="0" quotePrefix="0" xfId="0">
      <alignment horizontal="center"/>
    </xf>
    <xf numFmtId="0" fontId="20" fillId="26" borderId="13" applyAlignment="1" pivotButton="0" quotePrefix="0" xfId="0">
      <alignment horizontal="center"/>
    </xf>
    <xf numFmtId="0" fontId="0" fillId="0" borderId="16" pivotButton="0" quotePrefix="0" xfId="0"/>
    <xf numFmtId="0" fontId="20" fillId="24" borderId="1" applyAlignment="1" pivotButton="0" quotePrefix="0" xfId="0">
      <alignment horizontal="center"/>
    </xf>
    <xf numFmtId="0" fontId="44" fillId="51" borderId="1" applyAlignment="1" pivotButton="0" quotePrefix="0" xfId="0">
      <alignment horizontal="center"/>
    </xf>
    <xf numFmtId="0" fontId="47" fillId="51" borderId="1" applyAlignment="1" pivotButton="0" quotePrefix="0" xfId="0">
      <alignment horizontal="center"/>
    </xf>
    <xf numFmtId="0" fontId="48" fillId="51" borderId="1" applyAlignment="1" pivotButton="0" quotePrefix="0" xfId="0">
      <alignment horizontal="center"/>
    </xf>
    <xf numFmtId="0" fontId="49" fillId="26" borderId="13" applyAlignment="1" pivotButton="0" quotePrefix="0" xfId="0">
      <alignment horizontal="center"/>
    </xf>
    <xf numFmtId="0" fontId="52" fillId="51" borderId="1" applyAlignment="1" pivotButton="0" quotePrefix="0" xfId="0">
      <alignment horizontal="center"/>
    </xf>
    <xf numFmtId="0" fontId="54" fillId="51" borderId="1" applyAlignment="1" pivotButton="0" quotePrefix="0" xfId="0">
      <alignment horizontal="center"/>
    </xf>
    <xf numFmtId="0" fontId="45" fillId="51" borderId="1" applyAlignment="1" pivotButton="0" quotePrefix="0" xfId="0">
      <alignment horizontal="center" wrapText="1"/>
    </xf>
    <xf numFmtId="0" fontId="50" fillId="26" borderId="13" applyAlignment="1" pivotButton="0" quotePrefix="0" xfId="0">
      <alignment horizontal="center" wrapText="1"/>
    </xf>
    <xf numFmtId="0" fontId="0" fillId="0" borderId="15" pivotButton="0" quotePrefix="0" xfId="0"/>
    <xf numFmtId="0" fontId="0" fillId="0" borderId="19" pivotButton="0" quotePrefix="0" xfId="0"/>
    <xf numFmtId="0" fontId="0" fillId="0" borderId="20" pivotButton="0" quotePrefix="0" xfId="0"/>
    <xf numFmtId="164" fontId="46" fillId="51" borderId="1" applyAlignment="1" pivotButton="0" quotePrefix="0" xfId="0">
      <alignment horizontal="center"/>
    </xf>
    <xf numFmtId="164" fontId="36" fillId="51" borderId="1" applyAlignment="1" pivotButton="0" quotePrefix="0" xfId="0">
      <alignment horizontal="center"/>
    </xf>
    <xf numFmtId="164" fontId="35" fillId="51" borderId="1" applyAlignment="1" pivotButton="0" quotePrefix="0" xfId="0">
      <alignment horizontal="center"/>
    </xf>
    <xf numFmtId="164" fontId="24" fillId="26" borderId="13" applyAlignment="1" pivotButton="0" quotePrefix="0" xfId="0">
      <alignment horizontal="center"/>
    </xf>
    <xf numFmtId="164" fontId="53" fillId="51" borderId="1" applyAlignment="1" pivotButton="0" quotePrefix="0" xfId="0">
      <alignment horizontal="center"/>
    </xf>
    <xf numFmtId="164" fontId="55" fillId="51" borderId="1" applyAlignment="1" pivotButton="0" quotePrefix="0" xfId="0">
      <alignment horizontal="center"/>
    </xf>
    <xf numFmtId="0" fontId="0" fillId="51" borderId="1" pivotButton="0" quotePrefix="0" xfId="0"/>
    <xf numFmtId="0" fontId="51" fillId="26" borderId="13" applyAlignment="1" pivotButton="0" quotePrefix="0" xfId="0">
      <alignment horizontal="center"/>
    </xf>
    <xf numFmtId="0" fontId="39" fillId="34" borderId="0" pivotButton="0" quotePrefix="0" xfId="0"/>
    <xf numFmtId="164" fontId="56" fillId="0" borderId="0" pivotButton="0" quotePrefix="0" xfId="0"/>
    <xf numFmtId="0" fontId="39" fillId="42" borderId="0" pivotButton="0" quotePrefix="0" xfId="0"/>
    <xf numFmtId="0" fontId="0" fillId="50" borderId="0" pivotButton="0" quotePrefix="0" xfId="0"/>
    <xf numFmtId="164" fontId="57" fillId="0" borderId="0" pivotButton="0" quotePrefix="0" xfId="0"/>
    <xf numFmtId="0" fontId="39" fillId="26" borderId="0" pivotButton="0" quotePrefix="0" xfId="0"/>
    <xf numFmtId="164" fontId="58" fillId="0" borderId="0" pivotButton="0" quotePrefix="0" xfId="0"/>
    <xf numFmtId="9" fontId="5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B300"/>
    <outlinePr summaryBelow="1" summaryRight="1"/>
    <pageSetUpPr/>
  </sheetPr>
  <dimension ref="A1:V56"/>
  <sheetViews>
    <sheetView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2" customWidth="1" min="22" max="22"/>
  </cols>
  <sheetData>
    <row r="1" ht="8" customHeight="1">
      <c r="A1" s="1" t="n"/>
      <c r="B1" s="1" t="n"/>
      <c r="C1" s="1" t="n"/>
      <c r="D1" s="2" t="n"/>
      <c r="E1" s="2" t="n"/>
      <c r="F1" s="2" t="n"/>
      <c r="G1" s="3" t="n"/>
      <c r="H1" s="3" t="n"/>
      <c r="I1" s="3" t="n"/>
      <c r="J1" s="4" t="n"/>
      <c r="K1" s="4" t="n"/>
      <c r="L1" s="5" t="n"/>
      <c r="M1" s="5" t="n"/>
      <c r="N1" s="5" t="n"/>
      <c r="O1" s="6" t="n"/>
      <c r="P1" s="6" t="n"/>
      <c r="Q1" s="6" t="n"/>
      <c r="R1" s="7" t="n"/>
      <c r="S1" s="7" t="n"/>
      <c r="T1" s="7" t="n"/>
      <c r="U1" s="8" t="n"/>
      <c r="V1" s="8" t="n"/>
    </row>
    <row r="2" ht="8" customHeight="1">
      <c r="A2" s="1" t="n"/>
      <c r="B2" s="1" t="n"/>
      <c r="C2" s="1" t="n"/>
      <c r="D2" s="2" t="n"/>
      <c r="E2" s="2" t="n"/>
      <c r="F2" s="2" t="n"/>
      <c r="G2" s="3" t="n"/>
      <c r="H2" s="3" t="n"/>
      <c r="I2" s="3" t="n"/>
      <c r="J2" s="4" t="n"/>
      <c r="K2" s="4" t="n"/>
      <c r="L2" s="5" t="n"/>
      <c r="M2" s="5" t="n"/>
      <c r="N2" s="5" t="n"/>
      <c r="O2" s="6" t="n"/>
      <c r="P2" s="6" t="n"/>
      <c r="Q2" s="6" t="n"/>
      <c r="R2" s="7" t="n"/>
      <c r="S2" s="7" t="n"/>
      <c r="T2" s="7" t="n"/>
      <c r="U2" s="8" t="n"/>
      <c r="V2" s="8" t="n"/>
    </row>
    <row r="3" ht="8" customHeight="1">
      <c r="A3" s="1" t="n"/>
      <c r="B3" s="1" t="n"/>
      <c r="C3" s="1" t="n"/>
      <c r="D3" s="2" t="n"/>
      <c r="E3" s="2" t="n"/>
      <c r="F3" s="2" t="n"/>
      <c r="G3" s="3" t="n"/>
      <c r="H3" s="3" t="n"/>
      <c r="I3" s="3" t="n"/>
      <c r="J3" s="4" t="n"/>
      <c r="K3" s="4" t="n"/>
      <c r="L3" s="5" t="n"/>
      <c r="M3" s="5" t="n"/>
      <c r="N3" s="5" t="n"/>
      <c r="O3" s="6" t="n"/>
      <c r="P3" s="6" t="n"/>
      <c r="Q3" s="6" t="n"/>
      <c r="R3" s="7" t="n"/>
      <c r="S3" s="7" t="n"/>
      <c r="T3" s="7" t="n"/>
      <c r="U3" s="8" t="n"/>
      <c r="V3" s="8" t="n"/>
    </row>
    <row r="4" ht="8" customHeight="1">
      <c r="A4" s="1" t="n"/>
      <c r="B4" s="1" t="n"/>
      <c r="C4" s="1" t="n"/>
      <c r="D4" s="2" t="n"/>
      <c r="E4" s="2" t="n"/>
      <c r="F4" s="2" t="n"/>
      <c r="G4" s="3" t="n"/>
      <c r="H4" s="3" t="n"/>
      <c r="I4" s="3" t="n"/>
      <c r="J4" s="4" t="n"/>
      <c r="K4" s="4" t="n"/>
      <c r="L4" s="5" t="n"/>
      <c r="M4" s="5" t="n"/>
      <c r="N4" s="5" t="n"/>
      <c r="O4" s="6" t="n"/>
      <c r="P4" s="6" t="n"/>
      <c r="Q4" s="6" t="n"/>
      <c r="R4" s="7" t="n"/>
      <c r="S4" s="7" t="n"/>
      <c r="T4" s="7" t="n"/>
      <c r="U4" s="8" t="n"/>
      <c r="V4" s="8" t="n"/>
    </row>
    <row r="5" ht="45" customHeight="1">
      <c r="B5" s="9" t="inlineStr">
        <is>
          <t>CREATOR REVENUE EMPIRE</t>
        </is>
      </c>
    </row>
    <row r="6">
      <c r="B6" s="10" t="inlineStr">
        <is>
          <t>Build Your Financial Freedom  |  Track Every Dollar  |  Scale Your Empire</t>
        </is>
      </c>
    </row>
    <row r="7" ht="5" customHeight="1"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</row>
    <row r="9">
      <c r="B9" s="11" t="inlineStr">
        <is>
          <t>TOTAL REVENUE</t>
        </is>
      </c>
      <c r="C9" s="12" t="n"/>
      <c r="D9" s="12" t="n"/>
      <c r="E9" s="13" t="n"/>
      <c r="H9" s="14" t="inlineStr">
        <is>
          <t>MONTHLY AVG</t>
        </is>
      </c>
      <c r="I9" s="12" t="n"/>
      <c r="J9" s="12" t="n"/>
      <c r="K9" s="13" t="n"/>
      <c r="N9" s="15" t="inlineStr">
        <is>
          <t>PASSIVE INCOME</t>
        </is>
      </c>
      <c r="O9" s="12" t="n"/>
      <c r="P9" s="12" t="n"/>
      <c r="Q9" s="13" t="n"/>
    </row>
    <row r="10">
      <c r="B10" s="16">
        <f>SUM(Revenue!C20:N23)</f>
        <v/>
      </c>
      <c r="C10" s="17" t="n"/>
      <c r="D10" s="17" t="n"/>
      <c r="E10" s="18" t="n"/>
      <c r="F10" s="4" t="n"/>
      <c r="H10" s="19" t="n">
        <v>12850</v>
      </c>
      <c r="I10" s="17" t="n"/>
      <c r="J10" s="17" t="n"/>
      <c r="K10" s="18" t="n"/>
      <c r="L10" s="20" t="n"/>
      <c r="N10" s="21" t="n">
        <v>4850</v>
      </c>
      <c r="O10" s="17" t="n"/>
      <c r="P10" s="17" t="n"/>
      <c r="Q10" s="18" t="n"/>
      <c r="R10" s="22" t="n"/>
    </row>
    <row r="11">
      <c r="B11" s="23" t="n"/>
      <c r="E11" s="24" t="n"/>
      <c r="F11" s="4" t="n"/>
      <c r="H11" s="23" t="n"/>
      <c r="K11" s="24" t="n"/>
      <c r="L11" s="20" t="n"/>
      <c r="N11" s="23" t="n"/>
      <c r="Q11" s="24" t="n"/>
      <c r="R11" s="22" t="n"/>
    </row>
    <row r="12">
      <c r="B12" s="25" t="n"/>
      <c r="C12" s="26" t="n"/>
      <c r="D12" s="26" t="n"/>
      <c r="E12" s="27" t="n"/>
      <c r="F12" s="4" t="n"/>
      <c r="H12" s="25" t="n"/>
      <c r="I12" s="26" t="n"/>
      <c r="J12" s="26" t="n"/>
      <c r="K12" s="27" t="n"/>
      <c r="L12" s="20" t="n"/>
      <c r="N12" s="25" t="n"/>
      <c r="O12" s="26" t="n"/>
      <c r="P12" s="26" t="n"/>
      <c r="Q12" s="27" t="n"/>
      <c r="R12" s="22" t="n"/>
    </row>
    <row r="13">
      <c r="B13" s="28" t="inlineStr">
        <is>
          <t>+18.5% vs Last Year</t>
        </is>
      </c>
      <c r="C13" s="12" t="n"/>
      <c r="D13" s="12" t="n"/>
      <c r="E13" s="13" t="n"/>
      <c r="F13" s="4" t="n"/>
      <c r="H13" s="29" t="inlineStr">
        <is>
          <t>Target: $15,000</t>
        </is>
      </c>
      <c r="I13" s="12" t="n"/>
      <c r="J13" s="12" t="n"/>
      <c r="K13" s="13" t="n"/>
      <c r="L13" s="20" t="n"/>
      <c r="N13" s="30" t="inlineStr">
        <is>
          <t>38% of Total</t>
        </is>
      </c>
      <c r="O13" s="12" t="n"/>
      <c r="P13" s="12" t="n"/>
      <c r="Q13" s="13" t="n"/>
      <c r="R13" s="22" t="n"/>
    </row>
    <row r="14">
      <c r="C14" s="4" t="n"/>
      <c r="D14" s="4" t="n"/>
      <c r="E14" s="4" t="n"/>
      <c r="F14" s="4" t="n"/>
      <c r="I14" s="20" t="n"/>
      <c r="J14" s="20" t="n"/>
      <c r="K14" s="20" t="n"/>
      <c r="L14" s="20" t="n"/>
      <c r="O14" s="22" t="n"/>
      <c r="P14" s="22" t="n"/>
      <c r="Q14" s="22" t="n"/>
      <c r="R14" s="22" t="n"/>
    </row>
    <row r="16" ht="8" customHeight="1">
      <c r="B16" s="31" t="n"/>
      <c r="C16" s="31" t="n"/>
      <c r="D16" s="31" t="n"/>
      <c r="E16" s="32" t="n"/>
      <c r="F16" s="32" t="n"/>
      <c r="G16" s="33" t="n"/>
      <c r="H16" s="33" t="n"/>
      <c r="I16" s="33" t="n"/>
      <c r="J16" s="34" t="n"/>
      <c r="K16" s="34" t="n"/>
      <c r="L16" s="35" t="n"/>
      <c r="M16" s="35" t="n"/>
      <c r="N16" s="35" t="n"/>
      <c r="O16" s="36" t="n"/>
      <c r="P16" s="36" t="n"/>
      <c r="Q16" s="37" t="n"/>
      <c r="R16" s="37" t="n"/>
      <c r="S16" s="37" t="n"/>
      <c r="T16" s="38" t="n"/>
      <c r="U16" s="38" t="n"/>
    </row>
    <row r="17">
      <c r="B17" s="39" t="inlineStr">
        <is>
          <t>REVENUE STREAM BREAKDOWN</t>
        </is>
      </c>
    </row>
    <row r="19">
      <c r="B19" s="40" t="inlineStr">
        <is>
          <t>YouTube AdSense</t>
        </is>
      </c>
      <c r="E19" s="41" t="n"/>
      <c r="F19" s="41" t="n"/>
      <c r="G19" s="41" t="n"/>
      <c r="H19" s="41" t="n"/>
      <c r="I19" s="41" t="n"/>
      <c r="J19" s="41" t="n"/>
      <c r="K19" s="41" t="n"/>
      <c r="L19" s="41" t="n"/>
      <c r="M19" s="41" t="n"/>
      <c r="N19" s="41" t="n"/>
      <c r="O19" s="41" t="n"/>
      <c r="P19" s="42" t="n">
        <v>5800</v>
      </c>
      <c r="R19" s="43" t="inlineStr">
        <is>
          <t>Platform Ad Revenue</t>
        </is>
      </c>
    </row>
    <row r="20">
      <c r="B20" s="44">
        <f>5800/25750</f>
        <v/>
      </c>
    </row>
    <row r="22">
      <c r="B22" s="40" t="inlineStr">
        <is>
          <t>Brand Sponsorships</t>
        </is>
      </c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45" t="inlineStr">
        <is>
          <t>Paid Partnerships</t>
        </is>
      </c>
    </row>
    <row r="23">
      <c r="B23" s="44">
        <f>6500/25750</f>
        <v/>
      </c>
    </row>
    <row r="25">
      <c r="B25" s="40" t="inlineStr">
        <is>
          <t>Affiliate Marketing</t>
        </is>
      </c>
      <c r="E25" s="46" t="n"/>
      <c r="F25" s="46" t="n"/>
      <c r="G25" s="46" t="n"/>
      <c r="H25" s="46" t="n"/>
      <c r="I25" s="46" t="n"/>
      <c r="J25" s="42" t="n">
        <v>2400</v>
      </c>
      <c r="R25" s="43" t="inlineStr">
        <is>
          <t>Commission Income</t>
        </is>
      </c>
    </row>
    <row r="26">
      <c r="B26" s="44">
        <f>2400/25750</f>
        <v/>
      </c>
    </row>
    <row r="28">
      <c r="B28" s="40" t="inlineStr">
        <is>
          <t>Digital Products</t>
        </is>
      </c>
      <c r="E28" s="47" t="n"/>
      <c r="F28" s="47" t="n"/>
      <c r="G28" s="47" t="n"/>
      <c r="H28" s="47" t="n"/>
      <c r="I28" s="47" t="n"/>
      <c r="J28" s="47" t="n"/>
      <c r="K28" s="42" t="n">
        <v>3200</v>
      </c>
      <c r="R28" s="43" t="inlineStr">
        <is>
          <t>Courses &amp; Templates</t>
        </is>
      </c>
    </row>
    <row r="29">
      <c r="B29" s="44">
        <f>3200/25750</f>
        <v/>
      </c>
    </row>
    <row r="31">
      <c r="B31" s="40" t="inlineStr">
        <is>
          <t>Merchandise</t>
        </is>
      </c>
      <c r="E31" s="48" t="n"/>
      <c r="F31" s="48" t="n"/>
      <c r="G31" s="48" t="n"/>
      <c r="H31" s="48" t="n"/>
      <c r="I31" s="42" t="n">
        <v>1800</v>
      </c>
      <c r="R31" s="43" t="inlineStr">
        <is>
          <t>Physical Products</t>
        </is>
      </c>
    </row>
    <row r="32">
      <c r="B32" s="44">
        <f>1800/25750</f>
        <v/>
      </c>
    </row>
    <row r="34">
      <c r="B34" s="40" t="inlineStr">
        <is>
          <t>Coaching/Consulting</t>
        </is>
      </c>
      <c r="E34" s="49" t="n"/>
      <c r="F34" s="49" t="n"/>
      <c r="G34" s="49" t="n"/>
      <c r="H34" s="49" t="n"/>
      <c r="I34" s="49" t="n"/>
      <c r="J34" s="42" t="n">
        <v>2500</v>
      </c>
      <c r="R34" s="43" t="inlineStr">
        <is>
          <t>1:1 Services</t>
        </is>
      </c>
    </row>
    <row r="35">
      <c r="B35" s="44">
        <f>2500/25750</f>
        <v/>
      </c>
    </row>
    <row r="37">
      <c r="B37" s="40" t="inlineStr">
        <is>
          <t>Podcast Sponsors</t>
        </is>
      </c>
      <c r="E37" s="50" t="n"/>
      <c r="F37" s="50" t="n"/>
      <c r="G37" s="50" t="n"/>
      <c r="H37" s="42" t="n">
        <v>1600</v>
      </c>
      <c r="R37" s="43" t="inlineStr">
        <is>
          <t>Audio Partnerships</t>
        </is>
      </c>
    </row>
    <row r="38">
      <c r="B38" s="44">
        <f>1600/25750</f>
        <v/>
      </c>
    </row>
    <row r="40">
      <c r="B40" s="40" t="inlineStr">
        <is>
          <t>Twitch/Donations</t>
        </is>
      </c>
      <c r="E40" s="51" t="n"/>
      <c r="F40" s="51" t="n"/>
      <c r="G40" s="42" t="n">
        <v>950</v>
      </c>
      <c r="R40" s="43" t="inlineStr">
        <is>
          <t>Community Support</t>
        </is>
      </c>
    </row>
    <row r="41">
      <c r="B41" s="44">
        <f>950/25750</f>
        <v/>
      </c>
    </row>
    <row r="44">
      <c r="B44" s="52" t="inlineStr">
        <is>
          <t>12-MONTH REVENUE TREND</t>
        </is>
      </c>
    </row>
    <row r="45">
      <c r="C45" s="53" t="inlineStr">
        <is>
          <t>Jan</t>
        </is>
      </c>
      <c r="D45" s="53" t="inlineStr">
        <is>
          <t>Feb</t>
        </is>
      </c>
      <c r="E45" s="53" t="inlineStr">
        <is>
          <t>Mar</t>
        </is>
      </c>
      <c r="F45" s="53" t="inlineStr">
        <is>
          <t>Apr</t>
        </is>
      </c>
      <c r="G45" s="53" t="inlineStr">
        <is>
          <t>May</t>
        </is>
      </c>
      <c r="H45" s="53" t="inlineStr">
        <is>
          <t>Jun</t>
        </is>
      </c>
      <c r="I45" s="53" t="inlineStr">
        <is>
          <t>Jul</t>
        </is>
      </c>
      <c r="J45" s="53" t="inlineStr">
        <is>
          <t>Aug</t>
        </is>
      </c>
      <c r="K45" s="53" t="inlineStr">
        <is>
          <t>Sep</t>
        </is>
      </c>
      <c r="L45" s="53" t="inlineStr">
        <is>
          <t>Oct</t>
        </is>
      </c>
      <c r="M45" s="53" t="inlineStr">
        <is>
          <t>Nov</t>
        </is>
      </c>
      <c r="N45" s="53" t="inlineStr">
        <is>
          <t>Dec</t>
        </is>
      </c>
    </row>
    <row r="46">
      <c r="N46" s="54" t="n"/>
    </row>
    <row r="47">
      <c r="L47" s="55" t="n"/>
      <c r="M47" s="55" t="n"/>
      <c r="N47" s="55" t="n"/>
    </row>
    <row r="48">
      <c r="G48" s="56" t="n"/>
      <c r="H48" s="56" t="n"/>
      <c r="I48" s="56" t="n"/>
      <c r="J48" s="56" t="n"/>
      <c r="K48" s="56" t="n"/>
      <c r="L48" s="56" t="n"/>
      <c r="M48" s="56" t="n"/>
      <c r="N48" s="56" t="n"/>
    </row>
    <row r="49">
      <c r="D49" s="20" t="n"/>
      <c r="E49" s="20" t="n"/>
      <c r="F49" s="20" t="n"/>
      <c r="G49" s="20" t="n"/>
      <c r="H49" s="20" t="n"/>
      <c r="I49" s="20" t="n"/>
      <c r="J49" s="20" t="n"/>
      <c r="K49" s="20" t="n"/>
      <c r="L49" s="20" t="n"/>
      <c r="M49" s="20" t="n"/>
      <c r="N49" s="20" t="n"/>
    </row>
    <row r="50">
      <c r="C50" s="57" t="n"/>
      <c r="D50" s="57" t="n"/>
      <c r="E50" s="57" t="n"/>
      <c r="F50" s="57" t="n"/>
      <c r="G50" s="57" t="n"/>
      <c r="H50" s="57" t="n"/>
      <c r="I50" s="57" t="n"/>
      <c r="J50" s="57" t="n"/>
      <c r="K50" s="57" t="n"/>
      <c r="L50" s="57" t="n"/>
      <c r="M50" s="57" t="n"/>
      <c r="N50" s="57" t="n"/>
    </row>
    <row r="51">
      <c r="C51" s="49" t="n"/>
      <c r="D51" s="49" t="n"/>
      <c r="E51" s="49" t="n"/>
      <c r="F51" s="49" t="n"/>
      <c r="G51" s="49" t="n"/>
      <c r="H51" s="49" t="n"/>
      <c r="I51" s="49" t="n"/>
      <c r="J51" s="49" t="n"/>
      <c r="K51" s="49" t="n"/>
      <c r="L51" s="49" t="n"/>
      <c r="M51" s="49" t="n"/>
      <c r="N51" s="49" t="n"/>
    </row>
    <row r="52">
      <c r="C52" s="58" t="n"/>
      <c r="D52" s="58" t="n"/>
      <c r="E52" s="58" t="n"/>
      <c r="F52" s="58" t="n"/>
      <c r="G52" s="58" t="n"/>
      <c r="H52" s="58" t="n"/>
      <c r="I52" s="58" t="n"/>
      <c r="J52" s="58" t="n"/>
      <c r="K52" s="58" t="n"/>
      <c r="L52" s="58" t="n"/>
      <c r="M52" s="58" t="n"/>
      <c r="N52" s="58" t="n"/>
    </row>
    <row r="53">
      <c r="C53" s="59" t="n"/>
      <c r="D53" s="59" t="n"/>
      <c r="E53" s="59" t="n"/>
      <c r="F53" s="59" t="n"/>
      <c r="G53" s="59" t="n"/>
      <c r="H53" s="59" t="n"/>
      <c r="I53" s="59" t="n"/>
      <c r="J53" s="59" t="n"/>
      <c r="K53" s="59" t="n"/>
      <c r="L53" s="59" t="n"/>
      <c r="M53" s="59" t="n"/>
      <c r="N53" s="59" t="n"/>
    </row>
    <row r="54">
      <c r="C54" s="60" t="n">
        <v>9500</v>
      </c>
      <c r="D54" s="60" t="n">
        <v>10200</v>
      </c>
      <c r="E54" s="60" t="n">
        <v>10800</v>
      </c>
      <c r="F54" s="60" t="n">
        <v>11500</v>
      </c>
      <c r="G54" s="60" t="n">
        <v>12000</v>
      </c>
      <c r="H54" s="60" t="n">
        <v>11800</v>
      </c>
      <c r="I54" s="60" t="n">
        <v>12200</v>
      </c>
      <c r="J54" s="60" t="n">
        <v>13000</v>
      </c>
      <c r="K54" s="60" t="n">
        <v>13500</v>
      </c>
      <c r="L54" s="60" t="n">
        <v>14200</v>
      </c>
      <c r="M54" s="60" t="n">
        <v>14800</v>
      </c>
      <c r="N54" s="60" t="n">
        <v>15500</v>
      </c>
    </row>
    <row r="56">
      <c r="B56" s="1" t="n"/>
      <c r="C56" s="1" t="n"/>
      <c r="D56" s="1" t="n"/>
      <c r="E56" s="2" t="n"/>
      <c r="F56" s="2" t="n"/>
      <c r="G56" s="3" t="n"/>
      <c r="H56" s="3" t="n"/>
      <c r="I56" s="3" t="n"/>
      <c r="J56" s="4" t="n"/>
      <c r="K56" s="4" t="n"/>
      <c r="L56" s="5" t="n"/>
      <c r="M56" s="5" t="n"/>
      <c r="N56" s="5" t="n"/>
      <c r="O56" s="6" t="n"/>
      <c r="P56" s="6" t="n"/>
      <c r="Q56" s="7" t="n"/>
      <c r="R56" s="7" t="n"/>
      <c r="S56" s="7" t="n"/>
      <c r="T56" s="8" t="n"/>
      <c r="U56" s="8" t="n"/>
    </row>
  </sheetData>
  <mergeCells count="29">
    <mergeCell ref="B9:E9"/>
    <mergeCell ref="H13:K13"/>
    <mergeCell ref="N13:Q13"/>
    <mergeCell ref="R22:U22"/>
    <mergeCell ref="N9:Q9"/>
    <mergeCell ref="N10:Q12"/>
    <mergeCell ref="B34:D34"/>
    <mergeCell ref="B28:D28"/>
    <mergeCell ref="B19:D19"/>
    <mergeCell ref="B37:D37"/>
    <mergeCell ref="B40:D40"/>
    <mergeCell ref="R28:U28"/>
    <mergeCell ref="R19:U19"/>
    <mergeCell ref="H9:K9"/>
    <mergeCell ref="B17:U17"/>
    <mergeCell ref="R31:U31"/>
    <mergeCell ref="R40:U40"/>
    <mergeCell ref="B44:U44"/>
    <mergeCell ref="R25:U25"/>
    <mergeCell ref="H10:K12"/>
    <mergeCell ref="R34:U34"/>
    <mergeCell ref="B25:D25"/>
    <mergeCell ref="R37:U37"/>
    <mergeCell ref="B10:E12"/>
    <mergeCell ref="B31:D31"/>
    <mergeCell ref="B13:E13"/>
    <mergeCell ref="B22:D22"/>
    <mergeCell ref="B6:U6"/>
    <mergeCell ref="B5:U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E24AA"/>
    <outlinePr summaryBelow="1" summaryRight="1"/>
    <pageSetUpPr/>
  </sheetPr>
  <dimension ref="A1:T29"/>
  <sheetViews>
    <sheetView workbookViewId="0">
      <selection activeCell="A1" sqref="A1"/>
    </sheetView>
  </sheetViews>
  <sheetFormatPr baseColWidth="8" defaultRowHeight="15"/>
  <cols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 ht="8" customHeight="1">
      <c r="A1" s="31" t="n"/>
      <c r="B1" s="31" t="n"/>
      <c r="C1" s="31" t="n"/>
      <c r="D1" s="32" t="n"/>
      <c r="E1" s="32" t="n"/>
      <c r="F1" s="33" t="n"/>
      <c r="G1" s="33" t="n"/>
      <c r="H1" s="33" t="n"/>
      <c r="I1" s="34" t="n"/>
      <c r="J1" s="34" t="n"/>
      <c r="K1" s="35" t="n"/>
      <c r="L1" s="35" t="n"/>
      <c r="M1" s="35" t="n"/>
      <c r="N1" s="36" t="n"/>
      <c r="O1" s="36" t="n"/>
      <c r="P1" s="37" t="n"/>
      <c r="Q1" s="37" t="n"/>
      <c r="R1" s="37" t="n"/>
      <c r="S1" s="38" t="n"/>
      <c r="T1" s="38" t="n"/>
    </row>
    <row r="2" ht="8" customHeight="1">
      <c r="A2" s="31" t="n"/>
      <c r="B2" s="31" t="n"/>
      <c r="C2" s="31" t="n"/>
      <c r="D2" s="32" t="n"/>
      <c r="E2" s="32" t="n"/>
      <c r="F2" s="33" t="n"/>
      <c r="G2" s="33" t="n"/>
      <c r="H2" s="33" t="n"/>
      <c r="I2" s="34" t="n"/>
      <c r="J2" s="34" t="n"/>
      <c r="K2" s="35" t="n"/>
      <c r="L2" s="35" t="n"/>
      <c r="M2" s="35" t="n"/>
      <c r="N2" s="36" t="n"/>
      <c r="O2" s="36" t="n"/>
      <c r="P2" s="37" t="n"/>
      <c r="Q2" s="37" t="n"/>
      <c r="R2" s="37" t="n"/>
      <c r="S2" s="38" t="n"/>
      <c r="T2" s="38" t="n"/>
    </row>
    <row r="3" ht="8" customHeight="1">
      <c r="A3" s="31" t="n"/>
      <c r="B3" s="31" t="n"/>
      <c r="C3" s="31" t="n"/>
      <c r="D3" s="32" t="n"/>
      <c r="E3" s="32" t="n"/>
      <c r="F3" s="33" t="n"/>
      <c r="G3" s="33" t="n"/>
      <c r="H3" s="33" t="n"/>
      <c r="I3" s="34" t="n"/>
      <c r="J3" s="34" t="n"/>
      <c r="K3" s="35" t="n"/>
      <c r="L3" s="35" t="n"/>
      <c r="M3" s="35" t="n"/>
      <c r="N3" s="36" t="n"/>
      <c r="O3" s="36" t="n"/>
      <c r="P3" s="37" t="n"/>
      <c r="Q3" s="37" t="n"/>
      <c r="R3" s="37" t="n"/>
      <c r="S3" s="38" t="n"/>
      <c r="T3" s="38" t="n"/>
    </row>
    <row r="4" ht="40" customHeight="1">
      <c r="B4" s="61" t="inlineStr">
        <is>
          <t>BRAND PARTNERSHIP PORTFOLIO</t>
        </is>
      </c>
    </row>
    <row r="6">
      <c r="B6" s="62" t="inlineStr">
        <is>
          <t>PITCHED</t>
        </is>
      </c>
      <c r="C6" s="12" t="n"/>
      <c r="D6" s="13" t="n"/>
      <c r="F6" s="63" t="inlineStr">
        <is>
          <t>NEGOTIATING</t>
        </is>
      </c>
      <c r="G6" s="12" t="n"/>
      <c r="H6" s="13" t="n"/>
      <c r="J6" s="64" t="inlineStr">
        <is>
          <t>CONTRACTED</t>
        </is>
      </c>
      <c r="K6" s="12" t="n"/>
      <c r="L6" s="13" t="n"/>
      <c r="N6" s="65" t="inlineStr">
        <is>
          <t>IN PROGRESS</t>
        </is>
      </c>
      <c r="O6" s="12" t="n"/>
      <c r="P6" s="13" t="n"/>
      <c r="R6" s="66" t="inlineStr">
        <is>
          <t>COMPLETED</t>
        </is>
      </c>
      <c r="S6" s="12" t="n"/>
      <c r="T6" s="13" t="n"/>
    </row>
    <row r="7">
      <c r="B7" s="67" t="n">
        <v>8</v>
      </c>
      <c r="C7" s="17" t="n"/>
      <c r="D7" s="18" t="n"/>
      <c r="F7" s="68" t="n">
        <v>4</v>
      </c>
      <c r="G7" s="17" t="n"/>
      <c r="H7" s="18" t="n"/>
      <c r="J7" s="69" t="n">
        <v>3</v>
      </c>
      <c r="K7" s="17" t="n"/>
      <c r="L7" s="18" t="n"/>
      <c r="N7" s="70" t="n">
        <v>5</v>
      </c>
      <c r="O7" s="17" t="n"/>
      <c r="P7" s="18" t="n"/>
      <c r="R7" s="71" t="n">
        <v>12</v>
      </c>
      <c r="S7" s="17" t="n"/>
      <c r="T7" s="18" t="n"/>
    </row>
    <row r="8">
      <c r="B8" s="25" t="n"/>
      <c r="C8" s="26" t="n"/>
      <c r="D8" s="27" t="n"/>
      <c r="F8" s="25" t="n"/>
      <c r="G8" s="26" t="n"/>
      <c r="H8" s="27" t="n"/>
      <c r="J8" s="25" t="n"/>
      <c r="K8" s="26" t="n"/>
      <c r="L8" s="27" t="n"/>
      <c r="N8" s="25" t="n"/>
      <c r="O8" s="26" t="n"/>
      <c r="P8" s="27" t="n"/>
      <c r="R8" s="25" t="n"/>
      <c r="S8" s="26" t="n"/>
      <c r="T8" s="27" t="n"/>
    </row>
    <row r="9">
      <c r="B9" s="72" t="n">
        <v>35000</v>
      </c>
      <c r="C9" s="12" t="n"/>
      <c r="D9" s="13" t="n"/>
      <c r="F9" s="73" t="n">
        <v>22000</v>
      </c>
      <c r="G9" s="12" t="n"/>
      <c r="H9" s="13" t="n"/>
      <c r="J9" s="74" t="n">
        <v>18500</v>
      </c>
      <c r="K9" s="12" t="n"/>
      <c r="L9" s="13" t="n"/>
      <c r="N9" s="75" t="n">
        <v>28000</v>
      </c>
      <c r="O9" s="12" t="n"/>
      <c r="P9" s="13" t="n"/>
      <c r="R9" s="76" t="n">
        <v>65000</v>
      </c>
      <c r="S9" s="12" t="n"/>
      <c r="T9" s="13" t="n"/>
    </row>
    <row r="10">
      <c r="B10" s="77" t="inlineStr">
        <is>
          <t>deals</t>
        </is>
      </c>
      <c r="C10" s="12" t="n"/>
      <c r="D10" s="13" t="n"/>
      <c r="F10" s="78" t="inlineStr">
        <is>
          <t>deals</t>
        </is>
      </c>
      <c r="G10" s="12" t="n"/>
      <c r="H10" s="13" t="n"/>
      <c r="J10" s="79" t="inlineStr">
        <is>
          <t>deals</t>
        </is>
      </c>
      <c r="K10" s="12" t="n"/>
      <c r="L10" s="13" t="n"/>
      <c r="N10" s="80" t="inlineStr">
        <is>
          <t>deals</t>
        </is>
      </c>
      <c r="O10" s="12" t="n"/>
      <c r="P10" s="13" t="n"/>
      <c r="R10" s="81" t="inlineStr">
        <is>
          <t>deals</t>
        </is>
      </c>
      <c r="S10" s="12" t="n"/>
      <c r="T10" s="13" t="n"/>
    </row>
    <row r="13">
      <c r="B13" s="82" t="inlineStr">
        <is>
          <t>ACTIVE BRAND PARTNERSHIPS</t>
        </is>
      </c>
    </row>
    <row r="14">
      <c r="B14" s="83" t="inlineStr">
        <is>
          <t>Brand</t>
        </is>
      </c>
      <c r="C14" s="83" t="inlineStr">
        <is>
          <t>Campaign</t>
        </is>
      </c>
      <c r="D14" s="83" t="inlineStr">
        <is>
          <t>Platform</t>
        </is>
      </c>
      <c r="E14" s="83" t="inlineStr">
        <is>
          <t>Type</t>
        </is>
      </c>
      <c r="F14" s="83" t="inlineStr">
        <is>
          <t>Value</t>
        </is>
      </c>
      <c r="G14" s="83" t="inlineStr">
        <is>
          <t>Start</t>
        </is>
      </c>
      <c r="H14" s="83" t="inlineStr">
        <is>
          <t>End</t>
        </is>
      </c>
      <c r="I14" s="83" t="inlineStr">
        <is>
          <t>Deliverables</t>
        </is>
      </c>
      <c r="J14" s="83" t="inlineStr">
        <is>
          <t>Status</t>
        </is>
      </c>
      <c r="K14" s="83" t="inlineStr">
        <is>
          <t>Progress</t>
        </is>
      </c>
    </row>
    <row r="15">
      <c r="B15" s="84" t="inlineStr">
        <is>
          <t>TechFlow Pro</t>
        </is>
      </c>
      <c r="C15" s="85" t="inlineStr">
        <is>
          <t>Product Launch</t>
        </is>
      </c>
      <c r="D15" s="86" t="inlineStr">
        <is>
          <t>YouTube</t>
        </is>
      </c>
      <c r="E15" s="85" t="inlineStr">
        <is>
          <t>Sponsored</t>
        </is>
      </c>
      <c r="F15" s="87" t="n">
        <v>8500</v>
      </c>
      <c r="G15" s="85" t="inlineStr">
        <is>
          <t>Jan 15</t>
        </is>
      </c>
      <c r="H15" s="85" t="inlineStr">
        <is>
          <t>Feb 28</t>
        </is>
      </c>
      <c r="I15" s="85" t="inlineStr">
        <is>
          <t>2 videos + socials</t>
        </is>
      </c>
      <c r="J15" s="88" t="inlineStr">
        <is>
          <t>In Progress</t>
        </is>
      </c>
      <c r="K15" s="89" t="n">
        <v>0.65</v>
      </c>
    </row>
    <row r="16">
      <c r="B16" s="84" t="inlineStr">
        <is>
          <t>FitLife App</t>
        </is>
      </c>
      <c r="C16" s="85" t="inlineStr">
        <is>
          <t>New Year Promo</t>
        </is>
      </c>
      <c r="D16" s="90" t="inlineStr">
        <is>
          <t>Multi</t>
        </is>
      </c>
      <c r="E16" s="85" t="inlineStr">
        <is>
          <t>Integration</t>
        </is>
      </c>
      <c r="F16" s="87" t="n">
        <v>5200</v>
      </c>
      <c r="G16" s="85" t="inlineStr">
        <is>
          <t>Jan 01</t>
        </is>
      </c>
      <c r="H16" s="85" t="inlineStr">
        <is>
          <t>Jan 31</t>
        </is>
      </c>
      <c r="I16" s="85" t="inlineStr">
        <is>
          <t>3 videos</t>
        </is>
      </c>
      <c r="J16" s="91" t="inlineStr">
        <is>
          <t>Completing</t>
        </is>
      </c>
      <c r="K16" s="89" t="n">
        <v>0.9</v>
      </c>
    </row>
    <row r="17">
      <c r="B17" s="84" t="inlineStr">
        <is>
          <t>AudioMax</t>
        </is>
      </c>
      <c r="C17" s="85" t="inlineStr">
        <is>
          <t>Headphones Review</t>
        </is>
      </c>
      <c r="D17" s="86" t="inlineStr">
        <is>
          <t>YouTube</t>
        </is>
      </c>
      <c r="E17" s="85" t="inlineStr">
        <is>
          <t>Review</t>
        </is>
      </c>
      <c r="F17" s="87" t="n">
        <v>3500</v>
      </c>
      <c r="G17" s="85" t="inlineStr">
        <is>
          <t>Feb 01</t>
        </is>
      </c>
      <c r="H17" s="85" t="inlineStr">
        <is>
          <t>Feb 15</t>
        </is>
      </c>
      <c r="I17" s="85" t="inlineStr">
        <is>
          <t>1 video</t>
        </is>
      </c>
      <c r="J17" s="92" t="inlineStr">
        <is>
          <t>Starting</t>
        </is>
      </c>
      <c r="K17" s="89" t="n">
        <v>0.15</v>
      </c>
    </row>
    <row r="18">
      <c r="B18" s="84" t="inlineStr">
        <is>
          <t>CloudSync</t>
        </is>
      </c>
      <c r="C18" s="85" t="inlineStr">
        <is>
          <t>SaaS Series</t>
        </is>
      </c>
      <c r="D18" s="86" t="inlineStr">
        <is>
          <t>YouTube</t>
        </is>
      </c>
      <c r="E18" s="85" t="inlineStr">
        <is>
          <t>Series</t>
        </is>
      </c>
      <c r="F18" s="87" t="n">
        <v>12000</v>
      </c>
      <c r="G18" s="85" t="inlineStr">
        <is>
          <t>Feb 15</t>
        </is>
      </c>
      <c r="H18" s="85" t="inlineStr">
        <is>
          <t>Apr 30</t>
        </is>
      </c>
      <c r="I18" s="85" t="inlineStr">
        <is>
          <t>4 videos</t>
        </is>
      </c>
      <c r="J18" s="93" t="inlineStr">
        <is>
          <t>Contracted</t>
        </is>
      </c>
      <c r="K18" s="89" t="n">
        <v>0</v>
      </c>
    </row>
    <row r="19">
      <c r="B19" s="84" t="inlineStr">
        <is>
          <t>StyleHub</t>
        </is>
      </c>
      <c r="C19" s="85" t="inlineStr">
        <is>
          <t>Spring Collection</t>
        </is>
      </c>
      <c r="D19" s="94" t="inlineStr">
        <is>
          <t>Instagram</t>
        </is>
      </c>
      <c r="E19" s="85" t="inlineStr">
        <is>
          <t>Affiliate</t>
        </is>
      </c>
      <c r="F19" s="87" t="n">
        <v>2800</v>
      </c>
      <c r="G19" s="85" t="inlineStr">
        <is>
          <t>Mar 01</t>
        </is>
      </c>
      <c r="H19" s="85" t="inlineStr">
        <is>
          <t>Mar 31</t>
        </is>
      </c>
      <c r="I19" s="85" t="inlineStr">
        <is>
          <t>5 posts + stories</t>
        </is>
      </c>
      <c r="J19" s="95" t="inlineStr">
        <is>
          <t>Negotiating</t>
        </is>
      </c>
      <c r="K19" s="89" t="n">
        <v>0</v>
      </c>
    </row>
    <row r="20">
      <c r="B20" s="84" t="inlineStr">
        <is>
          <t>LearnNow</t>
        </is>
      </c>
      <c r="C20" s="85" t="inlineStr">
        <is>
          <t>Course Collab</t>
        </is>
      </c>
      <c r="D20" s="96" t="inlineStr">
        <is>
          <t>Website</t>
        </is>
      </c>
      <c r="E20" s="85" t="inlineStr">
        <is>
          <t>Revenue Share</t>
        </is>
      </c>
      <c r="F20" s="97" t="inlineStr">
        <is>
          <t>Rev Share</t>
        </is>
      </c>
      <c r="G20" s="85" t="inlineStr">
        <is>
          <t>Apr 01</t>
        </is>
      </c>
      <c r="H20" s="85" t="inlineStr">
        <is>
          <t>Ongoing</t>
        </is>
      </c>
      <c r="I20" s="85" t="inlineStr">
        <is>
          <t>Joint course</t>
        </is>
      </c>
      <c r="J20" s="98" t="inlineStr">
        <is>
          <t>Pitched</t>
        </is>
      </c>
      <c r="K20" s="89" t="n">
        <v>0</v>
      </c>
    </row>
    <row r="21">
      <c r="B21" s="84" t="inlineStr">
        <is>
          <t>GameZone</t>
        </is>
      </c>
      <c r="C21" s="85" t="inlineStr">
        <is>
          <t>Console Launch</t>
        </is>
      </c>
      <c r="D21" s="99" t="inlineStr">
        <is>
          <t>Twitch</t>
        </is>
      </c>
      <c r="E21" s="85" t="inlineStr">
        <is>
          <t>Sponsored</t>
        </is>
      </c>
      <c r="F21" s="87" t="n">
        <v>4500</v>
      </c>
      <c r="G21" s="85" t="inlineStr">
        <is>
          <t>Feb 20</t>
        </is>
      </c>
      <c r="H21" s="85" t="inlineStr">
        <is>
          <t>Mar 05</t>
        </is>
      </c>
      <c r="I21" s="85" t="inlineStr">
        <is>
          <t>3 streams</t>
        </is>
      </c>
      <c r="J21" s="93" t="inlineStr">
        <is>
          <t>Contracted</t>
        </is>
      </c>
      <c r="K21" s="89" t="n">
        <v>0</v>
      </c>
    </row>
    <row r="22">
      <c r="B22" s="84" t="inlineStr">
        <is>
          <t>FinanceApp</t>
        </is>
      </c>
      <c r="C22" s="85" t="inlineStr">
        <is>
          <t>Q1 Campaign</t>
        </is>
      </c>
      <c r="D22" s="90" t="inlineStr">
        <is>
          <t>Multi</t>
        </is>
      </c>
      <c r="E22" s="85" t="inlineStr">
        <is>
          <t>Ambassador</t>
        </is>
      </c>
      <c r="F22" s="87" t="n">
        <v>15000</v>
      </c>
      <c r="G22" s="85" t="inlineStr">
        <is>
          <t>Jan-Mar</t>
        </is>
      </c>
      <c r="H22" s="85" t="inlineStr">
        <is>
          <t>Quarterly</t>
        </is>
      </c>
      <c r="I22" s="85" t="inlineStr">
        <is>
          <t>Monthly content</t>
        </is>
      </c>
      <c r="J22" s="88" t="inlineStr">
        <is>
          <t>In Progress</t>
        </is>
      </c>
      <c r="K22" s="89" t="n">
        <v>0.45</v>
      </c>
    </row>
    <row r="25">
      <c r="B25" s="100" t="inlineStr">
        <is>
          <t>PARTNERSHIP ROI CALCULATOR</t>
        </is>
      </c>
    </row>
    <row r="26">
      <c r="B26" s="101" t="inlineStr">
        <is>
          <t>Total Partnership Value</t>
        </is>
      </c>
      <c r="D26" s="101" t="inlineStr">
        <is>
          <t>Avg Deal Size</t>
        </is>
      </c>
      <c r="F26" s="101" t="inlineStr">
        <is>
          <t>Active Deals</t>
        </is>
      </c>
      <c r="H26" s="101" t="inlineStr">
        <is>
          <t>Pipeline Value</t>
        </is>
      </c>
      <c r="J26" s="101" t="inlineStr">
        <is>
          <t>Completion Rate</t>
        </is>
      </c>
    </row>
    <row r="27">
      <c r="B27" s="102">
        <f>SUM(F15:F22)</f>
        <v/>
      </c>
      <c r="D27" s="102">
        <f>AVERAGE(F15:F22)</f>
        <v/>
      </c>
      <c r="F27" s="103">
        <f>COUNTIF(J15:J22,"In Progress")+COUNTIF(J15:J22,"Completing")</f>
        <v/>
      </c>
      <c r="H27" s="102">
        <f>SUMIF(J15:J22,"Contracted",F15:F22)+SUMIF(J15:J22,"Negotiating",F15:F22)</f>
        <v/>
      </c>
      <c r="J27" s="104">
        <f>COUNTIF(J15:J22,"Completing")/COUNTA(J15:J22)</f>
        <v/>
      </c>
    </row>
    <row r="29">
      <c r="B29" s="31" t="n"/>
      <c r="C29" s="31" t="n"/>
      <c r="D29" s="31" t="n"/>
      <c r="E29" s="32" t="n"/>
      <c r="F29" s="32" t="n"/>
      <c r="G29" s="33" t="n"/>
      <c r="H29" s="33" t="n"/>
      <c r="I29" s="34" t="n"/>
      <c r="J29" s="34" t="n"/>
      <c r="K29" s="35" t="n"/>
      <c r="L29" s="35" t="n"/>
      <c r="M29" s="35" t="n"/>
      <c r="N29" s="36" t="n"/>
      <c r="O29" s="36" t="n"/>
      <c r="P29" s="37" t="n"/>
      <c r="Q29" s="37" t="n"/>
      <c r="R29" s="38" t="n"/>
      <c r="S29" s="38" t="n"/>
    </row>
  </sheetData>
  <mergeCells count="33">
    <mergeCell ref="J6:L6"/>
    <mergeCell ref="B27:C27"/>
    <mergeCell ref="B7:D8"/>
    <mergeCell ref="B13:S13"/>
    <mergeCell ref="B10:D10"/>
    <mergeCell ref="F7:H8"/>
    <mergeCell ref="N7:P8"/>
    <mergeCell ref="N10:P10"/>
    <mergeCell ref="D27:E27"/>
    <mergeCell ref="B9:D9"/>
    <mergeCell ref="N9:P9"/>
    <mergeCell ref="B25:K25"/>
    <mergeCell ref="J27:K27"/>
    <mergeCell ref="F9:H9"/>
    <mergeCell ref="F26:G26"/>
    <mergeCell ref="B6:D6"/>
    <mergeCell ref="R7:T8"/>
    <mergeCell ref="N6:P6"/>
    <mergeCell ref="J26:K26"/>
    <mergeCell ref="R9:T9"/>
    <mergeCell ref="F27:G27"/>
    <mergeCell ref="B4:S4"/>
    <mergeCell ref="H27:I27"/>
    <mergeCell ref="F10:H10"/>
    <mergeCell ref="J7:L8"/>
    <mergeCell ref="F6:H6"/>
    <mergeCell ref="J10:L10"/>
    <mergeCell ref="R10:T10"/>
    <mergeCell ref="H26:I26"/>
    <mergeCell ref="B26:C26"/>
    <mergeCell ref="J9:L9"/>
    <mergeCell ref="D26:E26"/>
    <mergeCell ref="R6:T6"/>
  </mergeCells>
  <conditionalFormatting sqref="K15:K22">
    <cfRule type="dataBar" priority="1">
      <dataBar showValue="1">
        <cfvo type="num" val="0"/>
        <cfvo type="num" val="1"/>
        <color rgb="008E24AA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3A047"/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</cols>
  <sheetData>
    <row r="1" ht="8" customHeight="1">
      <c r="A1" s="105" t="n"/>
      <c r="B1" s="105" t="n"/>
      <c r="C1" s="105" t="n"/>
      <c r="D1" s="106" t="n"/>
      <c r="E1" s="106" t="n"/>
      <c r="F1" s="107" t="n"/>
      <c r="G1" s="107" t="n"/>
      <c r="H1" s="22" t="n"/>
      <c r="I1" s="22" t="n"/>
      <c r="J1" s="108" t="n"/>
      <c r="K1" s="108" t="n"/>
      <c r="L1" s="108" t="n"/>
      <c r="M1" s="109" t="n"/>
      <c r="N1" s="109" t="n"/>
      <c r="O1" s="110" t="n"/>
      <c r="P1" s="110" t="n"/>
      <c r="Q1" s="111" t="n"/>
      <c r="R1" s="111" t="n"/>
    </row>
    <row r="2" ht="8" customHeight="1">
      <c r="A2" s="105" t="n"/>
      <c r="B2" s="105" t="n"/>
      <c r="C2" s="105" t="n"/>
      <c r="D2" s="106" t="n"/>
      <c r="E2" s="106" t="n"/>
      <c r="F2" s="107" t="n"/>
      <c r="G2" s="107" t="n"/>
      <c r="H2" s="22" t="n"/>
      <c r="I2" s="22" t="n"/>
      <c r="J2" s="108" t="n"/>
      <c r="K2" s="108" t="n"/>
      <c r="L2" s="108" t="n"/>
      <c r="M2" s="109" t="n"/>
      <c r="N2" s="109" t="n"/>
      <c r="O2" s="110" t="n"/>
      <c r="P2" s="110" t="n"/>
      <c r="Q2" s="111" t="n"/>
      <c r="R2" s="111" t="n"/>
    </row>
    <row r="3" ht="8" customHeight="1">
      <c r="A3" s="105" t="n"/>
      <c r="B3" s="105" t="n"/>
      <c r="C3" s="105" t="n"/>
      <c r="D3" s="106" t="n"/>
      <c r="E3" s="106" t="n"/>
      <c r="F3" s="107" t="n"/>
      <c r="G3" s="107" t="n"/>
      <c r="H3" s="22" t="n"/>
      <c r="I3" s="22" t="n"/>
      <c r="J3" s="108" t="n"/>
      <c r="K3" s="108" t="n"/>
      <c r="L3" s="108" t="n"/>
      <c r="M3" s="109" t="n"/>
      <c r="N3" s="109" t="n"/>
      <c r="O3" s="110" t="n"/>
      <c r="P3" s="110" t="n"/>
      <c r="Q3" s="111" t="n"/>
      <c r="R3" s="111" t="n"/>
    </row>
    <row r="4" ht="40" customHeight="1">
      <c r="B4" s="112" t="inlineStr">
        <is>
          <t>INCOME DIVERSIFICATION STRATEGY</t>
        </is>
      </c>
    </row>
    <row r="6">
      <c r="B6" s="113" t="inlineStr">
        <is>
          <t>INCOME TYPE BREAKDOWN</t>
        </is>
      </c>
      <c r="J6" s="114" t="inlineStr">
        <is>
          <t>INCOME RISK ASSESSMENT</t>
        </is>
      </c>
    </row>
    <row r="8">
      <c r="B8" s="115" t="inlineStr">
        <is>
          <t>ACTIVE INCOME (62%)</t>
        </is>
      </c>
      <c r="J8" s="116" t="inlineStr">
        <is>
          <t>Platform Dependency</t>
        </is>
      </c>
      <c r="L8" s="117" t="n"/>
      <c r="M8" s="117" t="n"/>
      <c r="N8" s="118" t="inlineStr">
        <is>
          <t>High</t>
        </is>
      </c>
      <c r="O8" s="119" t="inlineStr">
        <is>
          <t>Diversify platforms</t>
        </is>
      </c>
    </row>
    <row r="9" ht="8" customHeight="1">
      <c r="B9" s="117" t="n"/>
      <c r="C9" s="117" t="n"/>
      <c r="D9" s="117" t="n"/>
      <c r="E9" s="117" t="n"/>
      <c r="J9" s="116" t="inlineStr">
        <is>
          <t>Single Revenue Stream</t>
        </is>
      </c>
      <c r="L9" s="108" t="n"/>
      <c r="N9" s="120" t="inlineStr">
        <is>
          <t>Low</t>
        </is>
      </c>
      <c r="O9" s="119" t="inlineStr">
        <is>
          <t>Well diversified</t>
        </is>
      </c>
    </row>
    <row r="10">
      <c r="B10" s="43" t="inlineStr">
        <is>
          <t>Trading time for money</t>
        </is>
      </c>
      <c r="J10" s="116" t="inlineStr">
        <is>
          <t>Client Concentration</t>
        </is>
      </c>
      <c r="L10" s="5" t="n"/>
      <c r="M10" s="5" t="n"/>
      <c r="N10" s="121" t="inlineStr">
        <is>
          <t>Medium</t>
        </is>
      </c>
      <c r="O10" s="119" t="inlineStr">
        <is>
          <t>Add more brands</t>
        </is>
      </c>
    </row>
    <row r="11">
      <c r="B11" s="122" t="inlineStr">
        <is>
          <t xml:space="preserve">  YouTube AdSense</t>
        </is>
      </c>
      <c r="E11" s="42" t="n">
        <v>5800</v>
      </c>
      <c r="F11" s="117" t="n"/>
      <c r="G11" s="117" t="n"/>
      <c r="H11" s="117" t="n"/>
      <c r="J11" s="116" t="inlineStr">
        <is>
          <t>Seasonality Impact</t>
        </is>
      </c>
      <c r="L11" s="5" t="n"/>
      <c r="M11" s="5" t="n"/>
      <c r="N11" s="121" t="inlineStr">
        <is>
          <t>Medium</t>
        </is>
      </c>
      <c r="O11" s="119" t="inlineStr">
        <is>
          <t>Create evergreen</t>
        </is>
      </c>
    </row>
    <row r="12">
      <c r="B12" s="122" t="inlineStr">
        <is>
          <t xml:space="preserve">  Brand Deals</t>
        </is>
      </c>
      <c r="E12" s="42" t="n">
        <v>6500</v>
      </c>
      <c r="F12" s="117" t="n"/>
      <c r="G12" s="117" t="n"/>
      <c r="H12" s="117" t="n"/>
      <c r="I12" s="117" t="n"/>
      <c r="J12" s="116" t="inlineStr">
        <is>
          <t>Market Changes</t>
        </is>
      </c>
      <c r="L12" s="5" t="n"/>
      <c r="M12" s="5" t="n"/>
      <c r="N12" s="121" t="inlineStr">
        <is>
          <t>Medium</t>
        </is>
      </c>
      <c r="O12" s="119" t="inlineStr">
        <is>
          <t>Monitor trends</t>
        </is>
      </c>
    </row>
    <row r="13">
      <c r="B13" s="122" t="inlineStr">
        <is>
          <t xml:space="preserve">  Coaching</t>
        </is>
      </c>
      <c r="E13" s="42" t="n">
        <v>2500</v>
      </c>
      <c r="F13" s="117" t="n"/>
      <c r="G13" s="117" t="n"/>
    </row>
    <row r="14">
      <c r="B14" s="122" t="inlineStr">
        <is>
          <t xml:space="preserve">  Twitch Streams</t>
        </is>
      </c>
      <c r="E14" s="42" t="n">
        <v>950</v>
      </c>
      <c r="F14" s="117" t="n"/>
    </row>
    <row r="15">
      <c r="J15" s="123" t="inlineStr">
        <is>
          <t>FINANCIAL HEALTH SCORE</t>
        </is>
      </c>
    </row>
    <row r="17">
      <c r="B17" s="124" t="inlineStr">
        <is>
          <t>PASSIVE INCOME (38%)</t>
        </is>
      </c>
      <c r="J17" s="116" t="inlineStr">
        <is>
          <t>Income Diversity</t>
        </is>
      </c>
      <c r="L17" s="125" t="n"/>
      <c r="M17" s="125" t="n"/>
      <c r="N17" s="125" t="n"/>
      <c r="O17" s="125" t="n"/>
      <c r="P17" s="125" t="n"/>
      <c r="Q17" s="125" t="n"/>
      <c r="R17" s="125" t="n"/>
      <c r="S17" s="125" t="n"/>
      <c r="T17" s="126" t="n"/>
      <c r="U17" s="126" t="n"/>
    </row>
    <row r="18" ht="8" customHeight="1">
      <c r="B18" s="109" t="n"/>
      <c r="C18" s="109" t="n"/>
      <c r="J18" s="116" t="inlineStr">
        <is>
          <t>Growth Trajectory</t>
        </is>
      </c>
      <c r="L18" s="127" t="n"/>
      <c r="M18" s="127" t="n"/>
      <c r="N18" s="127" t="n"/>
      <c r="O18" s="127" t="n"/>
      <c r="P18" s="127" t="n"/>
      <c r="Q18" s="127" t="n"/>
      <c r="R18" s="127" t="n"/>
      <c r="S18" s="126" t="n"/>
      <c r="T18" s="126" t="n"/>
      <c r="U18" s="126" t="n"/>
    </row>
    <row r="19">
      <c r="B19" s="43" t="inlineStr">
        <is>
          <t>Money while you sleep</t>
        </is>
      </c>
      <c r="J19" s="116" t="inlineStr">
        <is>
          <t>Stability Score</t>
        </is>
      </c>
      <c r="L19" s="128" t="n"/>
      <c r="M19" s="128" t="n"/>
      <c r="N19" s="128" t="n"/>
      <c r="O19" s="128" t="n"/>
      <c r="P19" s="128" t="n"/>
      <c r="Q19" s="128" t="n"/>
      <c r="R19" s="128" t="n"/>
      <c r="S19" s="126" t="n"/>
      <c r="T19" s="126" t="n"/>
      <c r="U19" s="126" t="n"/>
    </row>
    <row r="20">
      <c r="B20" s="122" t="inlineStr">
        <is>
          <t xml:space="preserve">  Course Sales</t>
        </is>
      </c>
      <c r="E20" s="42" t="n">
        <v>3200</v>
      </c>
      <c r="F20" s="109" t="n"/>
      <c r="G20" s="109" t="n"/>
      <c r="J20" s="116" t="inlineStr">
        <is>
          <t>Scalability</t>
        </is>
      </c>
      <c r="L20" s="129" t="n"/>
      <c r="M20" s="129" t="n"/>
      <c r="N20" s="129" t="n"/>
      <c r="O20" s="129" t="n"/>
      <c r="P20" s="129" t="n"/>
      <c r="Q20" s="129" t="n"/>
      <c r="R20" s="129" t="n"/>
      <c r="S20" s="129" t="n"/>
      <c r="T20" s="126" t="n"/>
      <c r="U20" s="126" t="n"/>
    </row>
    <row r="21">
      <c r="B21" s="122" t="inlineStr">
        <is>
          <t xml:space="preserve">  Affiliate Revenue</t>
        </is>
      </c>
      <c r="E21" s="42" t="n">
        <v>2400</v>
      </c>
      <c r="F21" s="109" t="n"/>
      <c r="G21" s="109" t="n"/>
    </row>
    <row r="22">
      <c r="B22" s="122" t="inlineStr">
        <is>
          <t xml:space="preserve">  Merch Sales</t>
        </is>
      </c>
      <c r="E22" s="42" t="n">
        <v>1800</v>
      </c>
      <c r="F22" s="109" t="n"/>
      <c r="J22" s="130" t="inlineStr">
        <is>
          <t>OVERALL SCORE</t>
        </is>
      </c>
      <c r="M22" s="131">
        <f>AVERAGE(81,85,78,72,88)</f>
        <v/>
      </c>
    </row>
    <row r="23">
      <c r="B23" s="122" t="inlineStr">
        <is>
          <t xml:space="preserve">  Digital Downloads</t>
        </is>
      </c>
      <c r="E23" s="42" t="n">
        <v>1100</v>
      </c>
      <c r="F23" s="109" t="n"/>
    </row>
  </sheetData>
  <mergeCells count="15">
    <mergeCell ref="B8:H8"/>
    <mergeCell ref="B17:H17"/>
    <mergeCell ref="J6:Q6"/>
    <mergeCell ref="J22:L22"/>
    <mergeCell ref="J15:Q15"/>
    <mergeCell ref="O9:Q9"/>
    <mergeCell ref="B4:Q4"/>
    <mergeCell ref="B6:H6"/>
    <mergeCell ref="O12:Q12"/>
    <mergeCell ref="B10:H10"/>
    <mergeCell ref="O8:Q8"/>
    <mergeCell ref="M22:Q22"/>
    <mergeCell ref="B19:H19"/>
    <mergeCell ref="O10:Q10"/>
    <mergeCell ref="O11:Q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ACC1"/>
    <outlinePr summaryBelow="1" summaryRight="1"/>
    <pageSetUpPr/>
  </sheetPr>
  <dimension ref="A1:T28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 ht="8" customHeight="1">
      <c r="A1" s="54" t="n"/>
      <c r="B1" s="54" t="n"/>
      <c r="C1" s="54" t="n"/>
      <c r="D1" s="55" t="n"/>
      <c r="E1" s="55" t="n"/>
      <c r="F1" s="56" t="n"/>
      <c r="G1" s="56" t="n"/>
      <c r="H1" s="56" t="n"/>
      <c r="I1" s="20" t="n"/>
      <c r="J1" s="20" t="n"/>
      <c r="K1" s="57" t="n"/>
      <c r="L1" s="57" t="n"/>
      <c r="M1" s="57" t="n"/>
      <c r="N1" s="49" t="n"/>
      <c r="O1" s="49" t="n"/>
      <c r="P1" s="58" t="n"/>
      <c r="Q1" s="58" t="n"/>
      <c r="R1" s="58" t="n"/>
      <c r="S1" s="59" t="n"/>
      <c r="T1" s="59" t="n"/>
    </row>
    <row r="2" ht="8" customHeight="1">
      <c r="A2" s="54" t="n"/>
      <c r="B2" s="54" t="n"/>
      <c r="C2" s="54" t="n"/>
      <c r="D2" s="55" t="n"/>
      <c r="E2" s="55" t="n"/>
      <c r="F2" s="56" t="n"/>
      <c r="G2" s="56" t="n"/>
      <c r="H2" s="56" t="n"/>
      <c r="I2" s="20" t="n"/>
      <c r="J2" s="20" t="n"/>
      <c r="K2" s="57" t="n"/>
      <c r="L2" s="57" t="n"/>
      <c r="M2" s="57" t="n"/>
      <c r="N2" s="49" t="n"/>
      <c r="O2" s="49" t="n"/>
      <c r="P2" s="58" t="n"/>
      <c r="Q2" s="58" t="n"/>
      <c r="R2" s="58" t="n"/>
      <c r="S2" s="59" t="n"/>
      <c r="T2" s="59" t="n"/>
    </row>
    <row r="3" ht="8" customHeight="1">
      <c r="A3" s="54" t="n"/>
      <c r="B3" s="54" t="n"/>
      <c r="C3" s="54" t="n"/>
      <c r="D3" s="55" t="n"/>
      <c r="E3" s="55" t="n"/>
      <c r="F3" s="56" t="n"/>
      <c r="G3" s="56" t="n"/>
      <c r="H3" s="56" t="n"/>
      <c r="I3" s="20" t="n"/>
      <c r="J3" s="20" t="n"/>
      <c r="K3" s="57" t="n"/>
      <c r="L3" s="57" t="n"/>
      <c r="M3" s="57" t="n"/>
      <c r="N3" s="49" t="n"/>
      <c r="O3" s="49" t="n"/>
      <c r="P3" s="58" t="n"/>
      <c r="Q3" s="58" t="n"/>
      <c r="R3" s="58" t="n"/>
      <c r="S3" s="59" t="n"/>
      <c r="T3" s="59" t="n"/>
    </row>
    <row r="4" ht="40" customHeight="1">
      <c r="B4" s="132" t="inlineStr">
        <is>
          <t>5-YEAR GROWTH PROJECTION MODEL</t>
        </is>
      </c>
    </row>
    <row r="6">
      <c r="B6" s="114" t="inlineStr">
        <is>
          <t>REVENUE GROWTH SCENARIOS</t>
        </is>
      </c>
    </row>
    <row r="8">
      <c r="D8" s="133" t="inlineStr">
        <is>
          <t>Current</t>
        </is>
      </c>
      <c r="E8" s="133" t="inlineStr">
        <is>
          <t>Year 1</t>
        </is>
      </c>
      <c r="F8" s="133" t="inlineStr">
        <is>
          <t>Year 2</t>
        </is>
      </c>
      <c r="G8" s="133" t="inlineStr">
        <is>
          <t>Year 3</t>
        </is>
      </c>
      <c r="H8" s="133" t="inlineStr">
        <is>
          <t>Year 4</t>
        </is>
      </c>
      <c r="I8" s="133" t="inlineStr">
        <is>
          <t>Year 5</t>
        </is>
      </c>
    </row>
    <row r="9">
      <c r="B9" s="134" t="inlineStr">
        <is>
          <t>CONSERVATIVE (+15%)</t>
        </is>
      </c>
      <c r="D9" s="135" t="n">
        <v>155000</v>
      </c>
      <c r="E9" s="136" t="n">
        <v>178250</v>
      </c>
      <c r="F9" s="137" t="n">
        <v>204987</v>
      </c>
      <c r="G9" s="138" t="n">
        <v>235735</v>
      </c>
      <c r="H9" s="139" t="n">
        <v>271095</v>
      </c>
      <c r="I9" s="140" t="n">
        <v>311760</v>
      </c>
    </row>
    <row r="10">
      <c r="B10" s="141" t="inlineStr">
        <is>
          <t>MODERATE (+25%)</t>
        </is>
      </c>
      <c r="D10" s="142" t="n">
        <v>155000</v>
      </c>
      <c r="E10" s="143" t="n">
        <v>193750</v>
      </c>
      <c r="F10" s="144" t="n">
        <v>242187</v>
      </c>
      <c r="G10" s="145" t="n">
        <v>302734</v>
      </c>
      <c r="H10" s="146" t="n">
        <v>378417</v>
      </c>
      <c r="I10" s="147" t="n">
        <v>473022</v>
      </c>
    </row>
    <row r="11">
      <c r="B11" s="148" t="inlineStr">
        <is>
          <t>AGGRESSIVE (+40%)</t>
        </is>
      </c>
      <c r="D11" s="149" t="n">
        <v>155000</v>
      </c>
      <c r="E11" s="150" t="n">
        <v>217000</v>
      </c>
      <c r="F11" s="151" t="n">
        <v>303799</v>
      </c>
      <c r="G11" s="152" t="n">
        <v>425319</v>
      </c>
      <c r="H11" s="153" t="n">
        <v>595447</v>
      </c>
      <c r="I11" s="154" t="n">
        <v>833627</v>
      </c>
    </row>
    <row r="14">
      <c r="B14" s="155" t="inlineStr">
        <is>
          <t>MILESTONE ROADMAP</t>
        </is>
      </c>
    </row>
    <row r="15">
      <c r="C15" s="53" t="inlineStr">
        <is>
          <t>Q1 2025</t>
        </is>
      </c>
      <c r="E15" s="53" t="inlineStr">
        <is>
          <t>Q2 2025</t>
        </is>
      </c>
      <c r="G15" s="53" t="inlineStr">
        <is>
          <t>Q3 2025</t>
        </is>
      </c>
      <c r="I15" s="53" t="inlineStr">
        <is>
          <t>Q4 2025</t>
        </is>
      </c>
      <c r="K15" s="53" t="inlineStr">
        <is>
          <t>2026</t>
        </is>
      </c>
      <c r="M15" s="53" t="inlineStr">
        <is>
          <t>2027</t>
        </is>
      </c>
      <c r="O15" s="53" t="inlineStr">
        <is>
          <t>2028</t>
        </is>
      </c>
    </row>
    <row r="16">
      <c r="C16" s="156" t="n"/>
      <c r="E16" s="157" t="n"/>
      <c r="G16" s="158" t="n"/>
      <c r="I16" s="159" t="n"/>
      <c r="K16" s="160" t="n"/>
      <c r="M16" s="161" t="n"/>
      <c r="O16" s="162" t="n"/>
    </row>
    <row r="17" ht="5" customHeight="1">
      <c r="C17" s="163" t="n"/>
      <c r="D17" s="163" t="n"/>
      <c r="E17" s="163" t="n"/>
      <c r="F17" s="163" t="n"/>
      <c r="G17" s="163" t="n"/>
      <c r="H17" s="163" t="n"/>
      <c r="I17" s="163" t="n"/>
      <c r="J17" s="163" t="n"/>
      <c r="K17" s="163" t="n"/>
      <c r="L17" s="163" t="n"/>
      <c r="M17" s="163" t="n"/>
      <c r="N17" s="163" t="n"/>
      <c r="O17" s="163" t="n"/>
      <c r="P17" s="163" t="n"/>
      <c r="Q17" s="163" t="n"/>
    </row>
    <row r="18">
      <c r="C18" s="164" t="inlineStr">
        <is>
          <t>150K Subs</t>
        </is>
      </c>
      <c r="E18" s="164" t="inlineStr">
        <is>
          <t>Launch Course</t>
        </is>
      </c>
      <c r="G18" s="164" t="inlineStr">
        <is>
          <t>200K Subs</t>
        </is>
      </c>
      <c r="I18" s="164" t="inlineStr">
        <is>
          <t>Agency Start</t>
        </is>
      </c>
      <c r="K18" s="164" t="inlineStr">
        <is>
          <t>300K Subs</t>
        </is>
      </c>
      <c r="M18" s="164" t="inlineStr">
        <is>
          <t>500K Subs</t>
        </is>
      </c>
      <c r="O18" s="164" t="inlineStr">
        <is>
          <t>1M Subs</t>
        </is>
      </c>
    </row>
    <row r="21">
      <c r="B21" s="113" t="inlineStr">
        <is>
          <t>GROWTH INVESTMENT ALLOCATION</t>
        </is>
      </c>
    </row>
    <row r="23">
      <c r="B23" s="122" t="inlineStr">
        <is>
          <t>Content Production</t>
        </is>
      </c>
      <c r="E23" s="41" t="n"/>
      <c r="F23" s="41" t="n"/>
      <c r="G23" s="41" t="n"/>
      <c r="H23" s="41" t="n"/>
      <c r="I23" s="165" t="n">
        <v>0.35</v>
      </c>
    </row>
    <row r="24">
      <c r="B24" s="122" t="inlineStr">
        <is>
          <t>Team Building</t>
        </is>
      </c>
      <c r="E24" s="36" t="n"/>
      <c r="F24" s="36" t="n"/>
      <c r="G24" s="36" t="n"/>
      <c r="H24" s="165" t="n">
        <v>0.25</v>
      </c>
    </row>
    <row r="25">
      <c r="B25" s="122" t="inlineStr">
        <is>
          <t>Marketing &amp; Ads</t>
        </is>
      </c>
      <c r="E25" s="166" t="n"/>
      <c r="F25" s="166" t="n"/>
      <c r="G25" s="165" t="n">
        <v>0.15</v>
      </c>
    </row>
    <row r="26">
      <c r="B26" s="122" t="inlineStr">
        <is>
          <t>Equipment &amp; Tools</t>
        </is>
      </c>
      <c r="E26" s="49" t="n"/>
      <c r="F26" s="165" t="n">
        <v>0.1</v>
      </c>
    </row>
    <row r="27">
      <c r="B27" s="122" t="inlineStr">
        <is>
          <t>Education &amp; Skills</t>
        </is>
      </c>
      <c r="E27" s="109" t="n"/>
      <c r="F27" s="165" t="n">
        <v>0.1</v>
      </c>
    </row>
    <row r="28">
      <c r="B28" s="122" t="inlineStr">
        <is>
          <t>Emergency Fund</t>
        </is>
      </c>
      <c r="E28" s="165" t="n">
        <v>0.05</v>
      </c>
    </row>
  </sheetData>
  <mergeCells count="20">
    <mergeCell ref="B21:S21"/>
    <mergeCell ref="B23:D23"/>
    <mergeCell ref="B14:S14"/>
    <mergeCell ref="O18:P18"/>
    <mergeCell ref="B28:D28"/>
    <mergeCell ref="B11:C11"/>
    <mergeCell ref="G18:H18"/>
    <mergeCell ref="I18:J18"/>
    <mergeCell ref="B24:D24"/>
    <mergeCell ref="B6:S6"/>
    <mergeCell ref="B10:C10"/>
    <mergeCell ref="B26:D26"/>
    <mergeCell ref="M18:N18"/>
    <mergeCell ref="B9:C9"/>
    <mergeCell ref="B25:D25"/>
    <mergeCell ref="B4:S4"/>
    <mergeCell ref="B27:D27"/>
    <mergeCell ref="C18:D18"/>
    <mergeCell ref="E18:F18"/>
    <mergeCell ref="K18:L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E676"/>
    <outlinePr summaryBelow="1" summaryRight="1"/>
    <pageSetUpPr/>
  </sheetPr>
  <dimension ref="A1:R3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</cols>
  <sheetData>
    <row r="1" ht="8" customHeight="1">
      <c r="A1" s="105" t="n"/>
      <c r="B1" s="105" t="n"/>
      <c r="C1" s="105" t="n"/>
      <c r="D1" s="106" t="n"/>
      <c r="E1" s="106" t="n"/>
      <c r="F1" s="107" t="n"/>
      <c r="G1" s="107" t="n"/>
      <c r="H1" s="22" t="n"/>
      <c r="I1" s="22" t="n"/>
      <c r="J1" s="108" t="n"/>
      <c r="K1" s="108" t="n"/>
      <c r="L1" s="108" t="n"/>
      <c r="M1" s="109" t="n"/>
      <c r="N1" s="109" t="n"/>
      <c r="O1" s="110" t="n"/>
      <c r="P1" s="110" t="n"/>
      <c r="Q1" s="111" t="n"/>
      <c r="R1" s="111" t="n"/>
    </row>
    <row r="2" ht="8" customHeight="1">
      <c r="A2" s="105" t="n"/>
      <c r="B2" s="105" t="n"/>
      <c r="C2" s="105" t="n"/>
      <c r="D2" s="106" t="n"/>
      <c r="E2" s="106" t="n"/>
      <c r="F2" s="107" t="n"/>
      <c r="G2" s="107" t="n"/>
      <c r="H2" s="22" t="n"/>
      <c r="I2" s="22" t="n"/>
      <c r="J2" s="108" t="n"/>
      <c r="K2" s="108" t="n"/>
      <c r="L2" s="108" t="n"/>
      <c r="M2" s="109" t="n"/>
      <c r="N2" s="109" t="n"/>
      <c r="O2" s="110" t="n"/>
      <c r="P2" s="110" t="n"/>
      <c r="Q2" s="111" t="n"/>
      <c r="R2" s="111" t="n"/>
    </row>
    <row r="3" ht="8" customHeight="1">
      <c r="A3" s="105" t="n"/>
      <c r="B3" s="105" t="n"/>
      <c r="C3" s="105" t="n"/>
      <c r="D3" s="106" t="n"/>
      <c r="E3" s="106" t="n"/>
      <c r="F3" s="107" t="n"/>
      <c r="G3" s="107" t="n"/>
      <c r="H3" s="22" t="n"/>
      <c r="I3" s="22" t="n"/>
      <c r="J3" s="108" t="n"/>
      <c r="K3" s="108" t="n"/>
      <c r="L3" s="108" t="n"/>
      <c r="M3" s="109" t="n"/>
      <c r="N3" s="109" t="n"/>
      <c r="O3" s="110" t="n"/>
      <c r="P3" s="110" t="n"/>
      <c r="Q3" s="111" t="n"/>
      <c r="R3" s="111" t="n"/>
    </row>
    <row r="4" ht="8" customHeight="1">
      <c r="A4" s="105" t="n"/>
      <c r="B4" s="105" t="n"/>
      <c r="C4" s="105" t="n"/>
      <c r="D4" s="106" t="n"/>
      <c r="E4" s="106" t="n"/>
      <c r="F4" s="107" t="n"/>
      <c r="G4" s="107" t="n"/>
      <c r="H4" s="22" t="n"/>
      <c r="I4" s="22" t="n"/>
      <c r="J4" s="108" t="n"/>
      <c r="K4" s="108" t="n"/>
      <c r="L4" s="108" t="n"/>
      <c r="M4" s="109" t="n"/>
      <c r="N4" s="109" t="n"/>
      <c r="O4" s="110" t="n"/>
      <c r="P4" s="110" t="n"/>
      <c r="Q4" s="111" t="n"/>
      <c r="R4" s="111" t="n"/>
    </row>
    <row r="5" ht="45" customHeight="1">
      <c r="B5" s="167" t="inlineStr">
        <is>
          <t>FINANCIAL FREEDOM DASHBOARD</t>
        </is>
      </c>
    </row>
    <row r="6">
      <c r="B6" s="168" t="inlineStr">
        <is>
          <t>Your Journey to Financial Independence</t>
        </is>
      </c>
    </row>
    <row r="8">
      <c r="B8" s="155" t="inlineStr">
        <is>
          <t>FREEDOM NUMBER CALCULATOR</t>
        </is>
      </c>
      <c r="J8" s="114" t="inlineStr">
        <is>
          <t>PROGRESS TO FREEDOM</t>
        </is>
      </c>
    </row>
    <row r="10">
      <c r="B10" s="169" t="inlineStr">
        <is>
          <t>Monthly Expenses</t>
        </is>
      </c>
      <c r="C10" s="13" t="n"/>
      <c r="D10" s="87" t="n">
        <v>8500</v>
      </c>
      <c r="E10" s="13" t="n"/>
      <c r="J10" s="85" t="inlineStr">
        <is>
          <t>Invested Assets</t>
        </is>
      </c>
      <c r="K10" s="87" t="n">
        <v>85000</v>
      </c>
      <c r="L10" s="170" t="n"/>
      <c r="M10" s="170" t="n"/>
      <c r="N10" s="170" t="n"/>
      <c r="O10" s="170" t="n"/>
      <c r="P10" s="170" t="n"/>
      <c r="Q10" s="171" t="n">
        <v>0.03333333333333333</v>
      </c>
    </row>
    <row r="11">
      <c r="B11" s="172" t="inlineStr">
        <is>
          <t>Lifestyle Buffer (20%)</t>
        </is>
      </c>
      <c r="C11" s="13" t="n"/>
      <c r="D11" s="87">
        <f>C10*0.2</f>
        <v/>
      </c>
      <c r="E11" s="13" t="n"/>
      <c r="J11" s="85" t="inlineStr">
        <is>
          <t>Monthly Passive</t>
        </is>
      </c>
      <c r="K11" s="87" t="n">
        <v>4850</v>
      </c>
      <c r="L11" s="173" t="n"/>
      <c r="M11" s="173" t="n"/>
      <c r="N11" s="170" t="n"/>
      <c r="O11" s="170" t="n"/>
      <c r="P11" s="170" t="n"/>
      <c r="Q11" s="171" t="n">
        <v>0.4754901960784313</v>
      </c>
    </row>
    <row r="12">
      <c r="B12" s="174" t="inlineStr">
        <is>
          <t>Total Monthly Need</t>
        </is>
      </c>
      <c r="C12" s="13" t="n"/>
      <c r="D12" s="87">
        <f>C10+C11</f>
        <v/>
      </c>
      <c r="E12" s="13" t="n"/>
      <c r="J12" s="85" t="inlineStr">
        <is>
          <t>Income Streams</t>
        </is>
      </c>
      <c r="K12" s="175" t="n">
        <v>8</v>
      </c>
      <c r="L12" s="176" t="n"/>
      <c r="M12" s="176" t="n"/>
      <c r="N12" s="176" t="n"/>
      <c r="O12" s="170" t="n"/>
      <c r="P12" s="170" t="n"/>
      <c r="Q12" s="171" t="n">
        <v>0.6666666666666666</v>
      </c>
    </row>
    <row r="13">
      <c r="B13" s="177" t="inlineStr">
        <is>
          <t>Annual Need</t>
        </is>
      </c>
      <c r="C13" s="13" t="n"/>
      <c r="D13" s="87">
        <f>C12*12</f>
        <v/>
      </c>
      <c r="E13" s="13" t="n"/>
      <c r="J13" s="85" t="inlineStr">
        <is>
          <t>Emergency Fund</t>
        </is>
      </c>
      <c r="K13" s="87" t="n">
        <v>25000</v>
      </c>
      <c r="L13" s="178" t="n"/>
      <c r="M13" s="178" t="n"/>
      <c r="N13" s="170" t="n"/>
      <c r="O13" s="170" t="n"/>
      <c r="P13" s="170" t="n"/>
      <c r="Q13" s="171" t="n">
        <v>0.5</v>
      </c>
    </row>
    <row r="14">
      <c r="B14" s="179" t="inlineStr">
        <is>
          <t>Freedom Multiple (25x)</t>
        </is>
      </c>
      <c r="C14" s="13" t="n"/>
      <c r="D14" s="87">
        <f>C13*25</f>
        <v/>
      </c>
      <c r="E14" s="13" t="n"/>
    </row>
    <row r="16">
      <c r="B16" s="180" t="inlineStr">
        <is>
          <t>YOUR FREEDOM NUMBER</t>
        </is>
      </c>
    </row>
    <row r="17">
      <c r="B17" s="181">
        <f>C14</f>
        <v/>
      </c>
    </row>
    <row r="18"/>
    <row r="21">
      <c r="B21" s="123" t="inlineStr">
        <is>
          <t>FREEDOM LEVEL STAGES</t>
        </is>
      </c>
    </row>
    <row r="23">
      <c r="B23" s="182" t="inlineStr">
        <is>
          <t>Level 1</t>
        </is>
      </c>
      <c r="C23" s="13" t="n"/>
      <c r="E23" s="183" t="inlineStr">
        <is>
          <t>Level 2</t>
        </is>
      </c>
      <c r="F23" s="13" t="n"/>
      <c r="H23" s="184" t="inlineStr">
        <is>
          <t>Level 3</t>
        </is>
      </c>
      <c r="I23" s="13" t="n"/>
      <c r="K23" s="185" t="inlineStr">
        <is>
          <t>Level 4</t>
        </is>
      </c>
      <c r="L23" s="186" t="n"/>
      <c r="N23" s="64" t="inlineStr">
        <is>
          <t>Level 5</t>
        </is>
      </c>
      <c r="O23" s="13" t="n"/>
      <c r="Q23" s="187" t="inlineStr">
        <is>
          <t>Level 6</t>
        </is>
      </c>
      <c r="R23" s="13" t="n"/>
    </row>
    <row r="24">
      <c r="B24" s="188" t="inlineStr">
        <is>
          <t>Survival</t>
        </is>
      </c>
      <c r="C24" s="13" t="n"/>
      <c r="E24" s="189" t="inlineStr">
        <is>
          <t>Stability</t>
        </is>
      </c>
      <c r="F24" s="13" t="n"/>
      <c r="H24" s="190" t="inlineStr">
        <is>
          <t>Security</t>
        </is>
      </c>
      <c r="I24" s="13" t="n"/>
      <c r="K24" s="191" t="inlineStr">
        <is>
          <t>Independence</t>
        </is>
      </c>
      <c r="L24" s="186" t="n"/>
      <c r="N24" s="192" t="inlineStr">
        <is>
          <t>Abundance</t>
        </is>
      </c>
      <c r="O24" s="13" t="n"/>
      <c r="Q24" s="193" t="inlineStr">
        <is>
          <t>Legacy</t>
        </is>
      </c>
      <c r="R24" s="13" t="n"/>
    </row>
    <row r="25">
      <c r="B25" s="194" t="inlineStr">
        <is>
          <t>Cover basic expenses</t>
        </is>
      </c>
      <c r="C25" s="18" t="n"/>
      <c r="E25" s="194" t="inlineStr">
        <is>
          <t>6-month emergency fund</t>
        </is>
      </c>
      <c r="F25" s="18" t="n"/>
      <c r="H25" s="194" t="inlineStr">
        <is>
          <t>Debt-free + investing</t>
        </is>
      </c>
      <c r="I25" s="18" t="n"/>
      <c r="K25" s="195" t="inlineStr">
        <is>
          <t>Passive covers lifestyle</t>
        </is>
      </c>
      <c r="L25" s="196" t="n"/>
      <c r="N25" s="194" t="inlineStr">
        <is>
          <t>Freedom Number achieved</t>
        </is>
      </c>
      <c r="O25" s="18" t="n"/>
      <c r="Q25" s="194" t="inlineStr">
        <is>
          <t>Generational wealth</t>
        </is>
      </c>
      <c r="R25" s="18" t="n"/>
    </row>
    <row r="26">
      <c r="B26" s="25" t="n"/>
      <c r="C26" s="27" t="n"/>
      <c r="E26" s="25" t="n"/>
      <c r="F26" s="27" t="n"/>
      <c r="H26" s="25" t="n"/>
      <c r="I26" s="27" t="n"/>
      <c r="K26" s="197" t="n"/>
      <c r="L26" s="198" t="n"/>
      <c r="N26" s="25" t="n"/>
      <c r="O26" s="27" t="n"/>
      <c r="Q26" s="25" t="n"/>
      <c r="R26" s="27" t="n"/>
    </row>
    <row r="27">
      <c r="B27" s="199" t="n">
        <v>102000</v>
      </c>
      <c r="C27" s="13" t="n"/>
      <c r="E27" s="200" t="n">
        <v>153000</v>
      </c>
      <c r="F27" s="13" t="n"/>
      <c r="H27" s="201" t="n">
        <v>400000</v>
      </c>
      <c r="I27" s="13" t="n"/>
      <c r="K27" s="202" t="n">
        <v>1500000</v>
      </c>
      <c r="L27" s="186" t="n"/>
      <c r="N27" s="203" t="n">
        <v>2550000</v>
      </c>
      <c r="O27" s="13" t="n"/>
      <c r="Q27" s="204" t="n">
        <v>5000000</v>
      </c>
      <c r="R27" s="13" t="n"/>
    </row>
    <row r="28">
      <c r="B28" s="205" t="n"/>
      <c r="C28" s="205" t="n"/>
      <c r="E28" s="205" t="n"/>
      <c r="F28" s="205" t="n"/>
      <c r="H28" s="205" t="n"/>
      <c r="I28" s="205" t="n"/>
      <c r="K28" s="206" t="inlineStr">
        <is>
          <t>YOU ARE HERE</t>
        </is>
      </c>
      <c r="L28" s="186" t="n"/>
      <c r="N28" s="205" t="n"/>
      <c r="O28" s="205" t="n"/>
      <c r="Q28" s="205" t="n"/>
      <c r="R28" s="205" t="n"/>
    </row>
    <row r="31">
      <c r="B31" s="113" t="inlineStr">
        <is>
          <t>MONTHLY CASHFLOW VISUALIZATION</t>
        </is>
      </c>
    </row>
    <row r="33">
      <c r="B33" s="207" t="inlineStr">
        <is>
          <t>INCOME</t>
        </is>
      </c>
      <c r="D33" s="108" t="n"/>
      <c r="E33" s="108" t="n"/>
      <c r="F33" s="108" t="n"/>
      <c r="G33" s="108" t="n"/>
      <c r="H33" s="108" t="n"/>
      <c r="I33" s="108" t="n"/>
      <c r="J33" s="108" t="n"/>
      <c r="K33" s="108" t="n"/>
      <c r="L33" s="108" t="n"/>
      <c r="M33" s="108" t="n"/>
      <c r="N33" s="108" t="n"/>
      <c r="O33" s="208" t="n">
        <v>12850</v>
      </c>
    </row>
    <row r="34">
      <c r="B34" s="209" t="inlineStr">
        <is>
          <t>EXPENSES</t>
        </is>
      </c>
      <c r="D34" s="210" t="n"/>
      <c r="E34" s="210" t="n"/>
      <c r="F34" s="210" t="n"/>
      <c r="G34" s="210" t="n"/>
      <c r="H34" s="210" t="n"/>
      <c r="I34" s="210" t="n"/>
      <c r="J34" s="210" t="n"/>
      <c r="K34" s="211" t="n">
        <v>8500</v>
      </c>
    </row>
    <row r="35">
      <c r="B35" s="212" t="inlineStr">
        <is>
          <t>SAVINGS</t>
        </is>
      </c>
      <c r="D35" s="57" t="n"/>
      <c r="E35" s="57" t="n"/>
      <c r="F35" s="57" t="n"/>
      <c r="G35" s="57" t="n"/>
      <c r="H35" s="213" t="n">
        <v>4350</v>
      </c>
    </row>
    <row r="37">
      <c r="B37" s="130" t="inlineStr">
        <is>
          <t>SAVINGS RATE:</t>
        </is>
      </c>
      <c r="D37" s="214" t="n">
        <v>0.3385214007782101</v>
      </c>
    </row>
    <row r="39">
      <c r="B39" s="105" t="n"/>
      <c r="C39" s="105" t="n"/>
      <c r="D39" s="106" t="n"/>
      <c r="E39" s="106" t="n"/>
      <c r="F39" s="107" t="n"/>
      <c r="G39" s="107" t="n"/>
      <c r="H39" s="22" t="n"/>
      <c r="I39" s="22" t="n"/>
      <c r="J39" s="108" t="n"/>
      <c r="K39" s="108" t="n"/>
      <c r="L39" s="109" t="n"/>
      <c r="M39" s="109" t="n"/>
      <c r="N39" s="110" t="n"/>
      <c r="O39" s="110" t="n"/>
      <c r="P39" s="111" t="n"/>
      <c r="Q39" s="111" t="n"/>
    </row>
  </sheetData>
  <mergeCells count="47">
    <mergeCell ref="J8:Q8"/>
    <mergeCell ref="D10:E10"/>
    <mergeCell ref="E24:F24"/>
    <mergeCell ref="K24:L24"/>
    <mergeCell ref="E23:F23"/>
    <mergeCell ref="B17:E18"/>
    <mergeCell ref="Q24:R24"/>
    <mergeCell ref="B6:Q6"/>
    <mergeCell ref="B27:C27"/>
    <mergeCell ref="B12:C12"/>
    <mergeCell ref="B5:Q5"/>
    <mergeCell ref="B11:C11"/>
    <mergeCell ref="D11:E11"/>
    <mergeCell ref="D13:E13"/>
    <mergeCell ref="Q23:R23"/>
    <mergeCell ref="B16:E16"/>
    <mergeCell ref="B23:C23"/>
    <mergeCell ref="B14:C14"/>
    <mergeCell ref="N23:O23"/>
    <mergeCell ref="E25:F26"/>
    <mergeCell ref="B13:C13"/>
    <mergeCell ref="K25:L26"/>
    <mergeCell ref="Q25:R26"/>
    <mergeCell ref="B31:Q31"/>
    <mergeCell ref="B25:C26"/>
    <mergeCell ref="B34:C34"/>
    <mergeCell ref="B37:C37"/>
    <mergeCell ref="B10:C10"/>
    <mergeCell ref="E27:F27"/>
    <mergeCell ref="K27:L27"/>
    <mergeCell ref="H25:I26"/>
    <mergeCell ref="B21:Q21"/>
    <mergeCell ref="K23:L23"/>
    <mergeCell ref="Q27:R27"/>
    <mergeCell ref="H27:I27"/>
    <mergeCell ref="D12:E12"/>
    <mergeCell ref="B8:H8"/>
    <mergeCell ref="B24:C24"/>
    <mergeCell ref="N25:O26"/>
    <mergeCell ref="B33:C33"/>
    <mergeCell ref="H24:I24"/>
    <mergeCell ref="N24:O24"/>
    <mergeCell ref="K28:L28"/>
    <mergeCell ref="D14:E14"/>
    <mergeCell ref="H23:I23"/>
    <mergeCell ref="N27:O27"/>
    <mergeCell ref="B35:C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2026-01-04T00:22:41Z</dcterms:created>
  <dcterms:modified xmlns:dcterms="http://purl.org/dc/terms/" xmlns:xsi="http://www.w3.org/2001/XMLSchema-instance" xsi:type="dcterms:W3CDTF">2026-01-04T00:22:41Z</dcterms:modified>
</cp:coreProperties>
</file>