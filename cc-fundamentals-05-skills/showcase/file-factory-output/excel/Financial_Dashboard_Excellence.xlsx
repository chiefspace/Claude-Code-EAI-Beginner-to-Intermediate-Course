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P&amp;L Statement" sheetId="3" state="visible" r:id="rId3"/>
    <sheet xmlns:r="http://schemas.openxmlformats.org/officeDocument/2006/relationships" name="Cash Flow Forecast" sheetId="4" state="visible" r:id="rId4"/>
    <sheet xmlns:r="http://schemas.openxmlformats.org/officeDocument/2006/relationships" name="ROI Calcula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0.0%"/>
    <numFmt numFmtId="166" formatCode="&quot;$&quot;#,##0;(&quot;$&quot;#,##0)"/>
    <numFmt numFmtId="167" formatCode="0.0%;(0.0%)"/>
    <numFmt numFmtId="168" formatCode="0.0&quot; years&quot;"/>
    <numFmt numFmtId="169" formatCode="0.0000"/>
  </numFmts>
  <fonts count="11">
    <font>
      <name val="Calibri"/>
      <family val="2"/>
      <color theme="1"/>
      <sz val="11"/>
      <scheme val="minor"/>
    </font>
    <font>
      <b val="1"/>
      <color rgb="001F4E79"/>
      <sz val="18"/>
    </font>
    <font>
      <i val="1"/>
      <color rgb="00666666"/>
    </font>
    <font>
      <b val="1"/>
      <color rgb="00FFFFFF"/>
      <sz val="10"/>
    </font>
    <font>
      <b val="1"/>
      <sz val="14"/>
    </font>
    <font>
      <b val="1"/>
      <sz val="11"/>
    </font>
    <font>
      <b val="1"/>
      <color rgb="00FFFFFF"/>
      <sz val="12"/>
    </font>
    <font>
      <b val="1"/>
      <color rgb="001F4E79"/>
      <sz val="16"/>
    </font>
    <font>
      <b val="1"/>
    </font>
    <font>
      <b val="1"/>
      <sz val="12"/>
    </font>
    <font>
      <color rgb="000000FF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5911"/>
        <bgColor rgb="00C65911"/>
      </patternFill>
    </fill>
    <fill>
      <patternFill patternType="solid">
        <fgColor rgb="002E7D32"/>
        <bgColor rgb="002E7D32"/>
      </patternFill>
    </fill>
    <fill>
      <patternFill patternType="solid">
        <fgColor rgb="00C6EFCE"/>
        <bgColor rgb="00C6EFCE"/>
      </patternFill>
    </fill>
    <fill>
      <patternFill patternType="solid">
        <fgColor rgb="006A1B9A"/>
        <bgColor rgb="006A1B9A"/>
      </patternFill>
    </fill>
    <fill>
      <patternFill patternType="solid">
        <fgColor rgb="00D6DCE5"/>
        <bgColor rgb="00D6DCE5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top style="thin"/>
    </border>
    <border>
      <top style="thin"/>
      <bottom style="thin"/>
    </border>
    <border>
      <bottom style="double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5" fillId="7" borderId="1" pivotButton="0" quotePrefix="0" xfId="0"/>
    <xf numFmtId="0" fontId="6" fillId="2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6" fillId="2" borderId="1" applyAlignment="1" pivotButton="0" quotePrefix="0" xfId="0">
      <alignment horizontal="center"/>
    </xf>
    <xf numFmtId="166" fontId="0" fillId="0" borderId="1" pivotButton="0" quotePrefix="0" xfId="0"/>
    <xf numFmtId="167" fontId="0" fillId="0" borderId="1" pivotButton="0" quotePrefix="0" xfId="0"/>
    <xf numFmtId="0" fontId="8" fillId="0" borderId="2" pivotButton="0" quotePrefix="0" xfId="0"/>
    <xf numFmtId="166" fontId="8" fillId="0" borderId="2" pivotButton="0" quotePrefix="0" xfId="0"/>
    <xf numFmtId="167" fontId="8" fillId="0" borderId="2" pivotButton="0" quotePrefix="0" xfId="0"/>
    <xf numFmtId="0" fontId="2" fillId="0" borderId="0" pivotButton="0" quotePrefix="0" xfId="0"/>
    <xf numFmtId="0" fontId="5" fillId="7" borderId="0" pivotButton="0" quotePrefix="0" xfId="0"/>
    <xf numFmtId="0" fontId="0" fillId="7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8" fillId="0" borderId="3" pivotButton="0" quotePrefix="0" xfId="0"/>
    <xf numFmtId="166" fontId="0" fillId="0" borderId="3" pivotButton="0" quotePrefix="0" xfId="0"/>
    <xf numFmtId="165" fontId="0" fillId="0" borderId="3" pivotButton="0" quotePrefix="0" xfId="0"/>
    <xf numFmtId="0" fontId="5" fillId="0" borderId="0" pivotButton="0" quotePrefix="0" xfId="0"/>
    <xf numFmtId="166" fontId="8" fillId="0" borderId="4" pivotButton="0" quotePrefix="0" xfId="0"/>
    <xf numFmtId="165" fontId="8" fillId="0" borderId="0" pivotButton="0" quotePrefix="0" xfId="0"/>
    <xf numFmtId="0" fontId="9" fillId="0" borderId="0" pivotButton="0" quotePrefix="0" xfId="0"/>
    <xf numFmtId="166" fontId="9" fillId="0" borderId="5" pivotButton="0" quotePrefix="0" xfId="0"/>
    <xf numFmtId="165" fontId="9" fillId="0" borderId="0" pivotButton="0" quotePrefix="0" xfId="0"/>
    <xf numFmtId="0" fontId="0" fillId="2" borderId="1" pivotButton="0" quotePrefix="0" xfId="0"/>
    <xf numFmtId="164" fontId="8" fillId="0" borderId="1" pivotButton="0" quotePrefix="0" xfId="0"/>
    <xf numFmtId="0" fontId="0" fillId="7" borderId="1" pivotButton="0" quotePrefix="0" xfId="0"/>
    <xf numFmtId="0" fontId="8" fillId="0" borderId="1" pivotButton="0" quotePrefix="0" xfId="0"/>
    <xf numFmtId="164" fontId="8" fillId="0" borderId="4" pivotButton="0" quotePrefix="0" xfId="0"/>
    <xf numFmtId="166" fontId="8" fillId="0" borderId="1" pivotButton="0" quotePrefix="0" xfId="0"/>
    <xf numFmtId="0" fontId="5" fillId="0" borderId="1" pivotButton="0" quotePrefix="0" xfId="0"/>
    <xf numFmtId="164" fontId="5" fillId="0" borderId="2" pivotButton="0" quotePrefix="0" xfId="0"/>
    <xf numFmtId="0" fontId="6" fillId="2" borderId="0" pivotButton="0" quotePrefix="0" xfId="0"/>
    <xf numFmtId="164" fontId="10" fillId="8" borderId="1" pivotButton="0" quotePrefix="0" xfId="0"/>
    <xf numFmtId="1" fontId="10" fillId="8" borderId="1" pivotButton="0" quotePrefix="0" xfId="0"/>
    <xf numFmtId="165" fontId="10" fillId="8" borderId="1" pivotButton="0" quotePrefix="0" xfId="0"/>
    <xf numFmtId="168" fontId="8" fillId="9" borderId="1" pivotButton="0" quotePrefix="0" xfId="0"/>
    <xf numFmtId="164" fontId="8" fillId="9" borderId="1" pivotButton="0" quotePrefix="0" xfId="0"/>
    <xf numFmtId="165" fontId="8" fillId="9" borderId="1" pivotButton="0" quotePrefix="0" xfId="0"/>
    <xf numFmtId="0" fontId="8" fillId="7" borderId="1" pivotButton="0" quotePrefix="0" xfId="0"/>
    <xf numFmtId="169" fontId="0" fillId="0" borderId="1" pivotButton="0" quotePrefix="0" xfId="0"/>
    <xf numFmtId="166" fontId="5" fillId="5" borderId="2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Finance Team</author>
  </authors>
  <commentList>
    <comment ref="C5" authorId="0" shapeId="0">
      <text>
        <t>Total upfront investment amount</t>
      </text>
    </comment>
    <comment ref="C6" authorId="0" shapeId="0">
      <text>
        <t>Expected annual cash inflow from investment</t>
      </text>
    </comment>
    <comment ref="C8" authorId="0" shapeId="0">
      <text>
        <t>Required rate of return or WACC</t>
      </text>
    </comment>
    <comment ref="C12" authorId="0" shapeId="0">
      <text>
        <t>Years to recover initial investment</t>
      </text>
    </comment>
    <comment ref="C13" authorId="0" shapeId="0">
      <text>
        <t>Sum of all cash inflows over project life</t>
      </text>
    </comment>
    <comment ref="C14" authorId="0" shapeId="0">
      <text>
        <t>Total profit over investment life</t>
      </text>
    </comment>
    <comment ref="C15" authorId="0" shapeId="0">
      <text>
        <t>Return on Investment ratio</t>
      </text>
    </comment>
    <comment ref="C16" authorId="0" shapeId="0">
      <text>
        <t>Average yearly profit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FINANCIAL EXECUTIVE DASHBOARD</t>
        </is>
      </c>
    </row>
    <row r="3">
      <c r="B3" s="2" t="inlineStr">
        <is>
          <t>As of January 03, 2026</t>
        </is>
      </c>
    </row>
    <row r="5">
      <c r="B5" s="3" t="inlineStr">
        <is>
          <t>REVENUE</t>
        </is>
      </c>
      <c r="C5" s="4" t="n"/>
      <c r="E5" s="5" t="inlineStr">
        <is>
          <t>EXPENSES</t>
        </is>
      </c>
      <c r="F5" s="4" t="n"/>
    </row>
    <row r="6">
      <c r="B6" s="6" t="n">
        <v>1250000</v>
      </c>
      <c r="C6" s="4" t="n"/>
      <c r="E6" s="6" t="n">
        <v>875000</v>
      </c>
      <c r="F6" s="4" t="n"/>
    </row>
    <row r="8">
      <c r="B8" s="7" t="inlineStr">
        <is>
          <t>NET PROFIT</t>
        </is>
      </c>
      <c r="C8" s="4" t="n"/>
      <c r="E8" s="8" t="inlineStr">
        <is>
          <t>PROFIT MARGIN</t>
        </is>
      </c>
      <c r="F8" s="4" t="n"/>
    </row>
    <row r="9">
      <c r="B9" s="9">
        <f>C6-F6</f>
        <v/>
      </c>
      <c r="C9" s="4" t="n"/>
      <c r="E9" s="10">
        <f>B9/C6</f>
        <v/>
      </c>
      <c r="F9" s="4" t="n"/>
    </row>
    <row r="12">
      <c r="B12" s="11" t="inlineStr">
        <is>
          <t>KEY PERFORMANCE INDICATORS</t>
        </is>
      </c>
      <c r="C12" s="4" t="n"/>
      <c r="D12" s="4" t="n"/>
      <c r="E12" s="4" t="n"/>
      <c r="F12" s="4" t="n"/>
      <c r="G12" s="4" t="n"/>
    </row>
    <row r="13">
      <c r="B13" s="12" t="inlineStr">
        <is>
          <t>Metric</t>
        </is>
      </c>
      <c r="C13" s="12" t="inlineStr">
        <is>
          <t>Current</t>
        </is>
      </c>
      <c r="D13" s="12" t="inlineStr">
        <is>
          <t>Target</t>
        </is>
      </c>
      <c r="E13" s="12" t="inlineStr">
        <is>
          <t>Variance</t>
        </is>
      </c>
      <c r="F13" s="12" t="inlineStr">
        <is>
          <t>Status</t>
        </is>
      </c>
    </row>
    <row r="14">
      <c r="B14" s="4" t="inlineStr">
        <is>
          <t>Revenue Growth</t>
        </is>
      </c>
      <c r="C14" s="13" t="n">
        <v>0.15</v>
      </c>
      <c r="D14" s="13" t="n">
        <v>0.12</v>
      </c>
      <c r="E14" s="13">
        <f>C14-D14</f>
        <v/>
      </c>
      <c r="F14" s="4">
        <f>IF(E14&gt;=0,"On Track","Below Target")</f>
        <v/>
      </c>
    </row>
    <row r="15">
      <c r="B15" s="4" t="inlineStr">
        <is>
          <t>Cost Ratio</t>
        </is>
      </c>
      <c r="C15" s="13" t="n">
        <v>0.7</v>
      </c>
      <c r="D15" s="13" t="n">
        <v>0.75</v>
      </c>
      <c r="E15" s="13">
        <f>D15-C15</f>
        <v/>
      </c>
      <c r="F15" s="4">
        <f>IF(E15&gt;=0,"On Track","Above Target")</f>
        <v/>
      </c>
    </row>
    <row r="16">
      <c r="B16" s="4" t="inlineStr">
        <is>
          <t>Customer Retention</t>
        </is>
      </c>
      <c r="C16" s="13" t="n">
        <v>0.92</v>
      </c>
      <c r="D16" s="13" t="n">
        <v>0.9</v>
      </c>
      <c r="E16" s="13">
        <f>C16-D16</f>
        <v/>
      </c>
      <c r="F16" s="4">
        <f>IF(E16&gt;=0,"On Track","Below Target")</f>
        <v/>
      </c>
    </row>
    <row r="17">
      <c r="B17" s="4" t="inlineStr">
        <is>
          <t>Employee Productivity</t>
        </is>
      </c>
      <c r="C17" s="14" t="n">
        <v>125000</v>
      </c>
      <c r="D17" s="14" t="n">
        <v>120000</v>
      </c>
      <c r="E17" s="14">
        <f>C17-D17</f>
        <v/>
      </c>
      <c r="F17" s="4">
        <f>IF(E17&gt;=0,"On Track","Below Target")</f>
        <v/>
      </c>
    </row>
  </sheetData>
  <mergeCells count="11">
    <mergeCell ref="B3:G3"/>
    <mergeCell ref="B2:G2"/>
    <mergeCell ref="B6:C6"/>
    <mergeCell ref="E9:F9"/>
    <mergeCell ref="E6:F6"/>
    <mergeCell ref="B5:C5"/>
    <mergeCell ref="E5:F5"/>
    <mergeCell ref="B12:G12"/>
    <mergeCell ref="B9:C9"/>
    <mergeCell ref="B8:C8"/>
    <mergeCell ref="E8:F8"/>
  </mergeCells>
  <conditionalFormatting sqref="E9:F9">
    <cfRule type="cellIs" priority="1" operator="greaterThan" dxfId="0">
      <formula>0.25</formula>
    </cfRule>
    <cfRule type="cellIs" priority="2" operator="between" dxfId="1">
      <formula>0.15</formula>
      <formula>0.25</formula>
    </cfRule>
    <cfRule type="cellIs" priority="3" operator="lessThan" dxfId="2">
      <formula>0.15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B2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5" t="inlineStr">
        <is>
          <t>BUDGET VS ACTUAL ANALYSIS</t>
        </is>
      </c>
    </row>
    <row r="4">
      <c r="B4" s="16" t="inlineStr">
        <is>
          <t>Category</t>
        </is>
      </c>
      <c r="C4" s="16" t="inlineStr">
        <is>
          <t>Budget</t>
        </is>
      </c>
      <c r="D4" s="16" t="inlineStr">
        <is>
          <t>Actual</t>
        </is>
      </c>
      <c r="E4" s="16" t="inlineStr">
        <is>
          <t>Variance</t>
        </is>
      </c>
      <c r="F4" s="16" t="inlineStr">
        <is>
          <t>Variance %</t>
        </is>
      </c>
    </row>
    <row r="5">
      <c r="B5" s="4" t="inlineStr">
        <is>
          <t>Marketing</t>
        </is>
      </c>
      <c r="C5" s="14" t="n">
        <v>150000</v>
      </c>
      <c r="D5" s="14" t="n">
        <v>165000</v>
      </c>
      <c r="E5" s="17">
        <f>D5-C5</f>
        <v/>
      </c>
      <c r="F5" s="18">
        <f>E5/C5</f>
        <v/>
      </c>
    </row>
    <row r="6">
      <c r="B6" s="4" t="inlineStr">
        <is>
          <t>Operations</t>
        </is>
      </c>
      <c r="C6" s="14" t="n">
        <v>280000</v>
      </c>
      <c r="D6" s="14" t="n">
        <v>265000</v>
      </c>
      <c r="E6" s="17">
        <f>D6-C6</f>
        <v/>
      </c>
      <c r="F6" s="18">
        <f>E6/C6</f>
        <v/>
      </c>
    </row>
    <row r="7">
      <c r="B7" s="4" t="inlineStr">
        <is>
          <t>Salaries</t>
        </is>
      </c>
      <c r="C7" s="14" t="n">
        <v>420000</v>
      </c>
      <c r="D7" s="14" t="n">
        <v>425000</v>
      </c>
      <c r="E7" s="17">
        <f>D7-C7</f>
        <v/>
      </c>
      <c r="F7" s="18">
        <f>E7/C7</f>
        <v/>
      </c>
    </row>
    <row r="8">
      <c r="B8" s="4" t="inlineStr">
        <is>
          <t>R&amp;D</t>
        </is>
      </c>
      <c r="C8" s="14" t="n">
        <v>180000</v>
      </c>
      <c r="D8" s="14" t="n">
        <v>195000</v>
      </c>
      <c r="E8" s="17">
        <f>D8-C8</f>
        <v/>
      </c>
      <c r="F8" s="18">
        <f>E8/C8</f>
        <v/>
      </c>
    </row>
    <row r="9">
      <c r="B9" s="4" t="inlineStr">
        <is>
          <t>Admin</t>
        </is>
      </c>
      <c r="C9" s="14" t="n">
        <v>75000</v>
      </c>
      <c r="D9" s="14" t="n">
        <v>72000</v>
      </c>
      <c r="E9" s="17">
        <f>D9-C9</f>
        <v/>
      </c>
      <c r="F9" s="18">
        <f>E9/C9</f>
        <v/>
      </c>
    </row>
    <row r="10">
      <c r="B10" s="4" t="inlineStr">
        <is>
          <t>IT</t>
        </is>
      </c>
      <c r="C10" s="14" t="n">
        <v>95000</v>
      </c>
      <c r="D10" s="14" t="n">
        <v>98000</v>
      </c>
      <c r="E10" s="17">
        <f>D10-C10</f>
        <v/>
      </c>
      <c r="F10" s="18">
        <f>E10/C10</f>
        <v/>
      </c>
    </row>
    <row r="11">
      <c r="B11" s="4" t="inlineStr">
        <is>
          <t>Legal</t>
        </is>
      </c>
      <c r="C11" s="14" t="n">
        <v>50000</v>
      </c>
      <c r="D11" s="14" t="n">
        <v>48000</v>
      </c>
      <c r="E11" s="17">
        <f>D11-C11</f>
        <v/>
      </c>
      <c r="F11" s="18">
        <f>E11/C11</f>
        <v/>
      </c>
    </row>
    <row r="12">
      <c r="B12" s="19" t="inlineStr">
        <is>
          <t>TOTAL</t>
        </is>
      </c>
      <c r="C12" s="20">
        <f>SUM(C5:C11)</f>
        <v/>
      </c>
      <c r="D12" s="20">
        <f>SUM(D5:D11)</f>
        <v/>
      </c>
      <c r="E12" s="20">
        <f>SUM(E5:E11)</f>
        <v/>
      </c>
      <c r="F12" s="21">
        <f>E12/C12</f>
        <v/>
      </c>
    </row>
  </sheetData>
  <mergeCells count="1">
    <mergeCell ref="B2:F2"/>
  </mergeCells>
  <conditionalFormatting sqref="E5:E12">
    <cfRule type="cellIs" priority="1" operator="greaterThan" dxfId="2">
      <formula>0</formula>
    </cfRule>
    <cfRule type="cellIs" priority="2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47A1"/>
    <outlinePr summaryBelow="1" summaryRight="1"/>
    <pageSetUpPr/>
  </sheetPr>
  <dimension ref="B2:D38"/>
  <sheetViews>
    <sheetView workbookViewId="0">
      <selection activeCell="A1" sqref="A1"/>
    </sheetView>
  </sheetViews>
  <sheetFormatPr baseColWidth="8" defaultRowHeight="15"/>
  <cols>
    <col width="28" customWidth="1" min="2" max="2"/>
    <col width="16" customWidth="1" min="3" max="3"/>
    <col width="14" customWidth="1" min="4" max="4"/>
  </cols>
  <sheetData>
    <row r="2">
      <c r="B2" s="15" t="inlineStr">
        <is>
          <t>PROFIT &amp; LOSS STATEMENT</t>
        </is>
      </c>
    </row>
    <row r="3">
      <c r="B3" s="22" t="inlineStr">
        <is>
          <t>For the Year Ended December 31, 2024</t>
        </is>
      </c>
    </row>
    <row r="5">
      <c r="B5" s="12" t="inlineStr"/>
      <c r="C5" s="12" t="inlineStr">
        <is>
          <t>Amount</t>
        </is>
      </c>
      <c r="D5" s="12" t="inlineStr">
        <is>
          <t>% of Revenue</t>
        </is>
      </c>
    </row>
    <row r="6">
      <c r="B6" s="23" t="inlineStr">
        <is>
          <t>REVENUE</t>
        </is>
      </c>
      <c r="C6" s="24" t="n"/>
      <c r="D6" s="24" t="n"/>
    </row>
    <row r="7">
      <c r="B7" t="inlineStr">
        <is>
          <t xml:space="preserve">  Product Sales</t>
        </is>
      </c>
      <c r="C7" s="25" t="n">
        <v>850000</v>
      </c>
      <c r="D7" s="26">
        <f>C7/$C$10</f>
        <v/>
      </c>
    </row>
    <row r="8">
      <c r="B8" t="inlineStr">
        <is>
          <t xml:space="preserve">  Service Revenue</t>
        </is>
      </c>
      <c r="C8" s="25" t="n">
        <v>320000</v>
      </c>
      <c r="D8" s="26">
        <f>C8/$C$10</f>
        <v/>
      </c>
    </row>
    <row r="9">
      <c r="B9" t="inlineStr">
        <is>
          <t xml:space="preserve">  Other Revenue</t>
        </is>
      </c>
      <c r="C9" s="25" t="n">
        <v>80000</v>
      </c>
      <c r="D9" s="26">
        <f>C9/$C$10</f>
        <v/>
      </c>
    </row>
    <row r="10">
      <c r="B10" s="27" t="inlineStr">
        <is>
          <t>Total Revenue</t>
        </is>
      </c>
      <c r="C10" s="28">
        <f>SUM(C7:C9)</f>
        <v/>
      </c>
      <c r="D10" s="29">
        <f>C10/$C$10</f>
        <v/>
      </c>
    </row>
    <row r="11">
      <c r="B11" t="inlineStr"/>
    </row>
    <row r="12">
      <c r="B12" s="23" t="inlineStr">
        <is>
          <t>COST OF GOODS SOLD</t>
        </is>
      </c>
      <c r="C12" s="24" t="n"/>
      <c r="D12" s="24" t="n"/>
    </row>
    <row r="13">
      <c r="B13" t="inlineStr">
        <is>
          <t xml:space="preserve">  Materials</t>
        </is>
      </c>
      <c r="C13" s="25" t="n">
        <v>280000</v>
      </c>
      <c r="D13" s="26">
        <f>C13/$C$10</f>
        <v/>
      </c>
    </row>
    <row r="14">
      <c r="B14" t="inlineStr">
        <is>
          <t xml:space="preserve">  Direct Labor</t>
        </is>
      </c>
      <c r="C14" s="25" t="n">
        <v>175000</v>
      </c>
      <c r="D14" s="26">
        <f>C14/$C$10</f>
        <v/>
      </c>
    </row>
    <row r="15">
      <c r="B15" t="inlineStr">
        <is>
          <t xml:space="preserve">  Manufacturing Overhead</t>
        </is>
      </c>
      <c r="C15" s="25" t="n">
        <v>95000</v>
      </c>
      <c r="D15" s="26">
        <f>C15/$C$10</f>
        <v/>
      </c>
    </row>
    <row r="16">
      <c r="B16" s="27" t="inlineStr">
        <is>
          <t>Total COGS</t>
        </is>
      </c>
      <c r="C16" s="28">
        <f>SUM(C13:C15)</f>
        <v/>
      </c>
      <c r="D16" s="29">
        <f>C16/$C$10</f>
        <v/>
      </c>
    </row>
    <row r="17">
      <c r="B17" t="inlineStr"/>
    </row>
    <row r="18">
      <c r="B18" s="30" t="inlineStr">
        <is>
          <t>GROSS PROFIT</t>
        </is>
      </c>
      <c r="C18" s="31">
        <f>C10-C16</f>
        <v/>
      </c>
      <c r="D18" s="32">
        <f>C18/$C$10</f>
        <v/>
      </c>
    </row>
    <row r="19">
      <c r="B19" t="inlineStr"/>
    </row>
    <row r="20">
      <c r="B20" s="23" t="inlineStr">
        <is>
          <t>OPERATING EXPENSES</t>
        </is>
      </c>
      <c r="C20" s="24" t="n"/>
      <c r="D20" s="24" t="n"/>
    </row>
    <row r="21">
      <c r="B21" t="inlineStr">
        <is>
          <t xml:space="preserve">  Sales &amp; Marketing</t>
        </is>
      </c>
      <c r="C21" s="25" t="n">
        <v>125000</v>
      </c>
      <c r="D21" s="26">
        <f>C21/$C$10</f>
        <v/>
      </c>
    </row>
    <row r="22">
      <c r="B22" t="inlineStr">
        <is>
          <t xml:space="preserve">  General &amp; Administrative</t>
        </is>
      </c>
      <c r="C22" s="25" t="n">
        <v>85000</v>
      </c>
      <c r="D22" s="26">
        <f>C22/$C$10</f>
        <v/>
      </c>
    </row>
    <row r="23">
      <c r="B23" t="inlineStr">
        <is>
          <t xml:space="preserve">  Research &amp; Development</t>
        </is>
      </c>
      <c r="C23" s="25" t="n">
        <v>95000</v>
      </c>
      <c r="D23" s="26">
        <f>C23/$C$10</f>
        <v/>
      </c>
    </row>
    <row r="24">
      <c r="B24" t="inlineStr">
        <is>
          <t xml:space="preserve">  Depreciation</t>
        </is>
      </c>
      <c r="C24" s="25" t="n">
        <v>45000</v>
      </c>
      <c r="D24" s="26">
        <f>C24/$C$10</f>
        <v/>
      </c>
    </row>
    <row r="25">
      <c r="B25" t="inlineStr">
        <is>
          <t xml:space="preserve">  Other Operating</t>
        </is>
      </c>
      <c r="C25" s="25" t="n">
        <v>25000</v>
      </c>
      <c r="D25" s="26">
        <f>C25/$C$10</f>
        <v/>
      </c>
    </row>
    <row r="26">
      <c r="B26" s="27" t="inlineStr">
        <is>
          <t>Total Operating Expenses</t>
        </is>
      </c>
      <c r="C26" s="28">
        <f>SUM(C21:C25)</f>
        <v/>
      </c>
      <c r="D26" s="29">
        <f>C26/$C$10</f>
        <v/>
      </c>
    </row>
    <row r="27">
      <c r="B27" t="inlineStr"/>
    </row>
    <row r="28">
      <c r="B28" s="30" t="inlineStr">
        <is>
          <t>OPERATING INCOME</t>
        </is>
      </c>
      <c r="C28" s="31">
        <f>C18-C26</f>
        <v/>
      </c>
      <c r="D28" s="32">
        <f>C28/$C$10</f>
        <v/>
      </c>
    </row>
    <row r="29">
      <c r="B29" t="inlineStr"/>
    </row>
    <row r="30">
      <c r="B30" s="23" t="inlineStr">
        <is>
          <t>OTHER INCOME/EXPENSES</t>
        </is>
      </c>
      <c r="C30" s="24" t="n"/>
      <c r="D30" s="24" t="n"/>
    </row>
    <row r="31">
      <c r="B31" t="inlineStr">
        <is>
          <t xml:space="preserve">  Interest Income</t>
        </is>
      </c>
      <c r="C31" s="25" t="n">
        <v>12000</v>
      </c>
      <c r="D31" s="26">
        <f>C31/$C$10</f>
        <v/>
      </c>
    </row>
    <row r="32">
      <c r="B32" t="inlineStr">
        <is>
          <t xml:space="preserve">  Interest Expense</t>
        </is>
      </c>
      <c r="C32" s="25" t="n">
        <v>-18000</v>
      </c>
      <c r="D32" s="26">
        <f>C32/$C$10</f>
        <v/>
      </c>
    </row>
    <row r="33">
      <c r="B33" s="27" t="inlineStr">
        <is>
          <t>Net Other Income</t>
        </is>
      </c>
      <c r="C33" s="28">
        <f>SUM(C31:C32)</f>
        <v/>
      </c>
      <c r="D33" s="29">
        <f>C33/$C$10</f>
        <v/>
      </c>
    </row>
    <row r="34">
      <c r="B34" t="inlineStr"/>
    </row>
    <row r="35">
      <c r="B35" s="30" t="inlineStr">
        <is>
          <t>NET INCOME BEFORE TAX</t>
        </is>
      </c>
      <c r="C35" s="31">
        <f>C28+C33</f>
        <v/>
      </c>
      <c r="D35" s="32">
        <f>C35/$C$10</f>
        <v/>
      </c>
    </row>
    <row r="36">
      <c r="B36" t="inlineStr">
        <is>
          <t xml:space="preserve">  Income Tax (25%)</t>
        </is>
      </c>
      <c r="C36" s="25">
        <f>C35*0.25</f>
        <v/>
      </c>
      <c r="D36" s="26">
        <f>C36/$C$10</f>
        <v/>
      </c>
    </row>
    <row r="37">
      <c r="B37" t="inlineStr"/>
    </row>
    <row r="38">
      <c r="B38" s="33" t="inlineStr">
        <is>
          <t>NET INCOME</t>
        </is>
      </c>
      <c r="C38" s="34">
        <f>C35-C36</f>
        <v/>
      </c>
      <c r="D38" s="35">
        <f>C38/$C$10</f>
        <v/>
      </c>
    </row>
  </sheetData>
  <mergeCells count="1"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1B9A"/>
    <outlinePr summaryBelow="1" summaryRight="1"/>
    <pageSetUpPr/>
  </sheetPr>
  <dimension ref="B2:O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5" t="inlineStr">
        <is>
          <t>12-MONTH CASH FLOW FORECAST</t>
        </is>
      </c>
    </row>
    <row r="4">
      <c r="B4" s="36" t="inlineStr"/>
      <c r="C4" s="16" t="inlineStr">
        <is>
          <t>Jan</t>
        </is>
      </c>
      <c r="D4" s="16" t="inlineStr">
        <is>
          <t>Feb</t>
        </is>
      </c>
      <c r="E4" s="16" t="inlineStr">
        <is>
          <t>Mar</t>
        </is>
      </c>
      <c r="F4" s="16" t="inlineStr">
        <is>
          <t>Apr</t>
        </is>
      </c>
      <c r="G4" s="16" t="inlineStr">
        <is>
          <t>May</t>
        </is>
      </c>
      <c r="H4" s="16" t="inlineStr">
        <is>
          <t>Jun</t>
        </is>
      </c>
      <c r="I4" s="16" t="inlineStr">
        <is>
          <t>Jul</t>
        </is>
      </c>
      <c r="J4" s="16" t="inlineStr">
        <is>
          <t>Aug</t>
        </is>
      </c>
      <c r="K4" s="16" t="inlineStr">
        <is>
          <t>Sep</t>
        </is>
      </c>
      <c r="L4" s="16" t="inlineStr">
        <is>
          <t>Oct</t>
        </is>
      </c>
      <c r="M4" s="16" t="inlineStr">
        <is>
          <t>Nov</t>
        </is>
      </c>
      <c r="N4" s="16" t="inlineStr">
        <is>
          <t>Dec</t>
        </is>
      </c>
      <c r="O4" s="16" t="inlineStr">
        <is>
          <t>Total</t>
        </is>
      </c>
    </row>
    <row r="5">
      <c r="B5" s="4" t="inlineStr">
        <is>
          <t>Beginning Cash</t>
        </is>
      </c>
      <c r="C5" s="37" t="n">
        <v>100000</v>
      </c>
      <c r="D5" s="14">
        <f>C21</f>
        <v/>
      </c>
      <c r="E5" s="14">
        <f>D21</f>
        <v/>
      </c>
      <c r="F5" s="14">
        <f>E21</f>
        <v/>
      </c>
      <c r="G5" s="14">
        <f>F21</f>
        <v/>
      </c>
      <c r="H5" s="14">
        <f>G21</f>
        <v/>
      </c>
      <c r="I5" s="14">
        <f>H21</f>
        <v/>
      </c>
      <c r="J5" s="14">
        <f>I21</f>
        <v/>
      </c>
      <c r="K5" s="14">
        <f>J21</f>
        <v/>
      </c>
      <c r="L5" s="14">
        <f>K21</f>
        <v/>
      </c>
      <c r="M5" s="14">
        <f>L21</f>
        <v/>
      </c>
      <c r="N5" s="14">
        <f>M21</f>
        <v/>
      </c>
      <c r="O5" s="14">
        <f>C5</f>
        <v/>
      </c>
    </row>
    <row r="6">
      <c r="B6" s="4" t="inlineStr"/>
    </row>
    <row r="7">
      <c r="B7" s="11" t="inlineStr">
        <is>
          <t>CASH INFLOWS</t>
        </is>
      </c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  <c r="O7" s="38" t="n"/>
    </row>
    <row r="8">
      <c r="B8" s="4" t="inlineStr">
        <is>
          <t xml:space="preserve">  Sales Receipts</t>
        </is>
      </c>
      <c r="C8" s="14" t="n">
        <v>85000</v>
      </c>
      <c r="D8" s="14" t="n">
        <v>92000</v>
      </c>
      <c r="E8" s="14" t="n">
        <v>88000</v>
      </c>
      <c r="F8" s="14" t="n">
        <v>95000</v>
      </c>
      <c r="G8" s="14" t="n">
        <v>102000</v>
      </c>
      <c r="H8" s="14" t="n">
        <v>98000</v>
      </c>
      <c r="I8" s="14" t="n">
        <v>105000</v>
      </c>
      <c r="J8" s="14" t="n">
        <v>110000</v>
      </c>
      <c r="K8" s="14" t="n">
        <v>95000</v>
      </c>
      <c r="L8" s="14" t="n">
        <v>88000</v>
      </c>
      <c r="M8" s="14" t="n">
        <v>92000</v>
      </c>
      <c r="N8" s="14" t="n">
        <v>115000</v>
      </c>
      <c r="O8" s="14">
        <f>SUM(C8:N8)</f>
        <v/>
      </c>
    </row>
    <row r="9">
      <c r="B9" s="4" t="inlineStr">
        <is>
          <t xml:space="preserve">  Interest Income</t>
        </is>
      </c>
      <c r="C9" s="14" t="n">
        <v>1000</v>
      </c>
      <c r="D9" s="14" t="n">
        <v>1000</v>
      </c>
      <c r="E9" s="14" t="n">
        <v>1000</v>
      </c>
      <c r="F9" s="14" t="n">
        <v>1000</v>
      </c>
      <c r="G9" s="14" t="n">
        <v>1000</v>
      </c>
      <c r="H9" s="14" t="n">
        <v>1000</v>
      </c>
      <c r="I9" s="14" t="n">
        <v>1000</v>
      </c>
      <c r="J9" s="14" t="n">
        <v>1000</v>
      </c>
      <c r="K9" s="14" t="n">
        <v>1000</v>
      </c>
      <c r="L9" s="14" t="n">
        <v>1000</v>
      </c>
      <c r="M9" s="14" t="n">
        <v>1000</v>
      </c>
      <c r="N9" s="14" t="n">
        <v>1000</v>
      </c>
      <c r="O9" s="14">
        <f>SUM(C9:N9)</f>
        <v/>
      </c>
    </row>
    <row r="10">
      <c r="B10" s="4" t="inlineStr">
        <is>
          <t xml:space="preserve">  Other Income</t>
        </is>
      </c>
      <c r="C10" s="14" t="n">
        <v>2000</v>
      </c>
      <c r="D10" s="14" t="n">
        <v>1500</v>
      </c>
      <c r="E10" s="14" t="n">
        <v>3000</v>
      </c>
      <c r="F10" s="14" t="n">
        <v>2500</v>
      </c>
      <c r="G10" s="14" t="n">
        <v>2000</v>
      </c>
      <c r="H10" s="14" t="n">
        <v>1800</v>
      </c>
      <c r="I10" s="14" t="n">
        <v>2200</v>
      </c>
      <c r="J10" s="14" t="n">
        <v>2500</v>
      </c>
      <c r="K10" s="14" t="n">
        <v>1800</v>
      </c>
      <c r="L10" s="14" t="n">
        <v>2000</v>
      </c>
      <c r="M10" s="14" t="n">
        <v>2500</v>
      </c>
      <c r="N10" s="14" t="n">
        <v>4000</v>
      </c>
      <c r="O10" s="14">
        <f>SUM(C10:N10)</f>
        <v/>
      </c>
    </row>
    <row r="11">
      <c r="B11" s="39" t="inlineStr">
        <is>
          <t>Total Inflows</t>
        </is>
      </c>
      <c r="C11" s="40">
        <f>SUM(C8:C10)</f>
        <v/>
      </c>
      <c r="D11" s="40">
        <f>SUM(D8:D10)</f>
        <v/>
      </c>
      <c r="E11" s="40">
        <f>SUM(E8:E10)</f>
        <v/>
      </c>
      <c r="F11" s="40">
        <f>SUM(F8:F10)</f>
        <v/>
      </c>
      <c r="G11" s="40">
        <f>SUM(G8:G10)</f>
        <v/>
      </c>
      <c r="H11" s="40">
        <f>SUM(H8:H10)</f>
        <v/>
      </c>
      <c r="I11" s="40">
        <f>SUM(I8:I10)</f>
        <v/>
      </c>
      <c r="J11" s="40">
        <f>SUM(J8:J10)</f>
        <v/>
      </c>
      <c r="K11" s="40">
        <f>SUM(K8:K10)</f>
        <v/>
      </c>
      <c r="L11" s="40">
        <f>SUM(L8:L10)</f>
        <v/>
      </c>
      <c r="M11" s="40">
        <f>SUM(M8:M10)</f>
        <v/>
      </c>
      <c r="N11" s="40">
        <f>SUM(N8:N10)</f>
        <v/>
      </c>
      <c r="O11" s="40">
        <f>SUM(O8:O10)</f>
        <v/>
      </c>
    </row>
    <row r="12">
      <c r="B12" s="4" t="inlineStr"/>
    </row>
    <row r="13">
      <c r="B13" s="11" t="inlineStr">
        <is>
          <t>CASH OUTFLOWS</t>
        </is>
      </c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</row>
    <row r="14">
      <c r="B14" s="4" t="inlineStr">
        <is>
          <t xml:space="preserve">  Payroll</t>
        </is>
      </c>
      <c r="C14" s="14" t="n">
        <v>35000</v>
      </c>
      <c r="D14" s="14" t="n">
        <v>35000</v>
      </c>
      <c r="E14" s="14" t="n">
        <v>35000</v>
      </c>
      <c r="F14" s="14" t="n">
        <v>35000</v>
      </c>
      <c r="G14" s="14" t="n">
        <v>35000</v>
      </c>
      <c r="H14" s="14" t="n">
        <v>35000</v>
      </c>
      <c r="I14" s="14" t="n">
        <v>35000</v>
      </c>
      <c r="J14" s="14" t="n">
        <v>35000</v>
      </c>
      <c r="K14" s="14" t="n">
        <v>35000</v>
      </c>
      <c r="L14" s="14" t="n">
        <v>35000</v>
      </c>
      <c r="M14" s="14" t="n">
        <v>35000</v>
      </c>
      <c r="N14" s="14" t="n">
        <v>35000</v>
      </c>
      <c r="O14" s="14">
        <f>SUM(C14:N14)</f>
        <v/>
      </c>
    </row>
    <row r="15">
      <c r="B15" s="4" t="inlineStr">
        <is>
          <t xml:space="preserve">  Rent &amp; Utilities</t>
        </is>
      </c>
      <c r="C15" s="14" t="n">
        <v>8000</v>
      </c>
      <c r="D15" s="14" t="n">
        <v>8000</v>
      </c>
      <c r="E15" s="14" t="n">
        <v>8000</v>
      </c>
      <c r="F15" s="14" t="n">
        <v>8000</v>
      </c>
      <c r="G15" s="14" t="n">
        <v>8000</v>
      </c>
      <c r="H15" s="14" t="n">
        <v>8000</v>
      </c>
      <c r="I15" s="14" t="n">
        <v>8000</v>
      </c>
      <c r="J15" s="14" t="n">
        <v>8000</v>
      </c>
      <c r="K15" s="14" t="n">
        <v>8000</v>
      </c>
      <c r="L15" s="14" t="n">
        <v>8000</v>
      </c>
      <c r="M15" s="14" t="n">
        <v>8000</v>
      </c>
      <c r="N15" s="14" t="n">
        <v>8000</v>
      </c>
      <c r="O15" s="14">
        <f>SUM(C15:N15)</f>
        <v/>
      </c>
    </row>
    <row r="16">
      <c r="B16" s="4" t="inlineStr">
        <is>
          <t xml:space="preserve">  Suppliers</t>
        </is>
      </c>
      <c r="C16" s="14" t="n">
        <v>25000</v>
      </c>
      <c r="D16" s="14" t="n">
        <v>28000</v>
      </c>
      <c r="E16" s="14" t="n">
        <v>26000</v>
      </c>
      <c r="F16" s="14" t="n">
        <v>30000</v>
      </c>
      <c r="G16" s="14" t="n">
        <v>32000</v>
      </c>
      <c r="H16" s="14" t="n">
        <v>28000</v>
      </c>
      <c r="I16" s="14" t="n">
        <v>35000</v>
      </c>
      <c r="J16" s="14" t="n">
        <v>38000</v>
      </c>
      <c r="K16" s="14" t="n">
        <v>30000</v>
      </c>
      <c r="L16" s="14" t="n">
        <v>28000</v>
      </c>
      <c r="M16" s="14" t="n">
        <v>29000</v>
      </c>
      <c r="N16" s="14" t="n">
        <v>40000</v>
      </c>
      <c r="O16" s="14">
        <f>SUM(C16:N16)</f>
        <v/>
      </c>
    </row>
    <row r="17">
      <c r="B17" s="4" t="inlineStr">
        <is>
          <t xml:space="preserve">  Other Expenses</t>
        </is>
      </c>
      <c r="C17" s="14" t="n">
        <v>5000</v>
      </c>
      <c r="D17" s="14" t="n">
        <v>6000</v>
      </c>
      <c r="E17" s="14" t="n">
        <v>4500</v>
      </c>
      <c r="F17" s="14" t="n">
        <v>5500</v>
      </c>
      <c r="G17" s="14" t="n">
        <v>6500</v>
      </c>
      <c r="H17" s="14" t="n">
        <v>5000</v>
      </c>
      <c r="I17" s="14" t="n">
        <v>6000</v>
      </c>
      <c r="J17" s="14" t="n">
        <v>7000</v>
      </c>
      <c r="K17" s="14" t="n">
        <v>5500</v>
      </c>
      <c r="L17" s="14" t="n">
        <v>4800</v>
      </c>
      <c r="M17" s="14" t="n">
        <v>5200</v>
      </c>
      <c r="N17" s="14" t="n">
        <v>8000</v>
      </c>
      <c r="O17" s="14">
        <f>SUM(C17:N17)</f>
        <v/>
      </c>
    </row>
    <row r="18">
      <c r="B18" s="39" t="inlineStr">
        <is>
          <t>Total Outflows</t>
        </is>
      </c>
      <c r="C18" s="40">
        <f>SUM(C14:C17)</f>
        <v/>
      </c>
      <c r="D18" s="40">
        <f>SUM(D14:D17)</f>
        <v/>
      </c>
      <c r="E18" s="40">
        <f>SUM(E14:E17)</f>
        <v/>
      </c>
      <c r="F18" s="40">
        <f>SUM(F14:F17)</f>
        <v/>
      </c>
      <c r="G18" s="40">
        <f>SUM(G14:G17)</f>
        <v/>
      </c>
      <c r="H18" s="40">
        <f>SUM(H14:H17)</f>
        <v/>
      </c>
      <c r="I18" s="40">
        <f>SUM(I14:I17)</f>
        <v/>
      </c>
      <c r="J18" s="40">
        <f>SUM(J14:J17)</f>
        <v/>
      </c>
      <c r="K18" s="40">
        <f>SUM(K14:K17)</f>
        <v/>
      </c>
      <c r="L18" s="40">
        <f>SUM(L14:L17)</f>
        <v/>
      </c>
      <c r="M18" s="40">
        <f>SUM(M14:M17)</f>
        <v/>
      </c>
      <c r="N18" s="40">
        <f>SUM(N14:N17)</f>
        <v/>
      </c>
      <c r="O18" s="40">
        <f>SUM(O14:O17)</f>
        <v/>
      </c>
    </row>
    <row r="19">
      <c r="B19" s="4" t="inlineStr"/>
    </row>
    <row r="20">
      <c r="B20" s="39" t="inlineStr">
        <is>
          <t>Net Cash Flow</t>
        </is>
      </c>
      <c r="C20" s="41">
        <f>C11-C18</f>
        <v/>
      </c>
      <c r="D20" s="41">
        <f>D11-D18</f>
        <v/>
      </c>
      <c r="E20" s="41">
        <f>E11-E18</f>
        <v/>
      </c>
      <c r="F20" s="41">
        <f>F11-F18</f>
        <v/>
      </c>
      <c r="G20" s="41">
        <f>G11-G18</f>
        <v/>
      </c>
      <c r="H20" s="41">
        <f>H11-H18</f>
        <v/>
      </c>
      <c r="I20" s="41">
        <f>I11-I18</f>
        <v/>
      </c>
      <c r="J20" s="41">
        <f>J11-J18</f>
        <v/>
      </c>
      <c r="K20" s="41">
        <f>K11-K18</f>
        <v/>
      </c>
      <c r="L20" s="41">
        <f>L11-L18</f>
        <v/>
      </c>
      <c r="M20" s="41">
        <f>M11-M18</f>
        <v/>
      </c>
      <c r="N20" s="41">
        <f>N11-N18</f>
        <v/>
      </c>
      <c r="O20" s="41">
        <f>O11-O18</f>
        <v/>
      </c>
    </row>
    <row r="21">
      <c r="B21" s="42" t="inlineStr">
        <is>
          <t>Ending Cash</t>
        </is>
      </c>
      <c r="C21" s="43">
        <f>C5+C20</f>
        <v/>
      </c>
      <c r="D21" s="43">
        <f>D5+D20</f>
        <v/>
      </c>
      <c r="E21" s="43">
        <f>E5+E20</f>
        <v/>
      </c>
      <c r="F21" s="43">
        <f>F5+F20</f>
        <v/>
      </c>
      <c r="G21" s="43">
        <f>G5+G20</f>
        <v/>
      </c>
      <c r="H21" s="43">
        <f>H5+H20</f>
        <v/>
      </c>
      <c r="I21" s="43">
        <f>I5+I20</f>
        <v/>
      </c>
      <c r="J21" s="43">
        <f>J5+J20</f>
        <v/>
      </c>
      <c r="K21" s="43">
        <f>K5+K20</f>
        <v/>
      </c>
      <c r="L21" s="43">
        <f>L5+L20</f>
        <v/>
      </c>
      <c r="M21" s="43">
        <f>M5+M20</f>
        <v/>
      </c>
      <c r="N21" s="43">
        <f>N5+N20</f>
        <v/>
      </c>
      <c r="O21" s="43">
        <f>O5+O20</f>
        <v/>
      </c>
    </row>
  </sheetData>
  <mergeCells count="1">
    <mergeCell ref="B2:N2"/>
  </mergeCells>
  <conditionalFormatting sqref="C20:N20">
    <cfRule type="cellIs" priority="1" operator="greaterThan" dxfId="0">
      <formula>0</formula>
    </cfRule>
    <cfRule type="cellIs" priority="2" operator="lessThan" dxfId="2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B2:E29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</cols>
  <sheetData>
    <row r="2">
      <c r="B2" s="15" t="inlineStr">
        <is>
          <t>INVESTMENT ROI CALCULATOR</t>
        </is>
      </c>
    </row>
    <row r="4">
      <c r="B4" s="44" t="inlineStr">
        <is>
          <t>INPUT PARAMETERS</t>
        </is>
      </c>
    </row>
    <row r="5">
      <c r="B5" s="4" t="inlineStr">
        <is>
          <t>Initial Investment</t>
        </is>
      </c>
      <c r="C5" s="45" t="n">
        <v>500000</v>
      </c>
    </row>
    <row r="6">
      <c r="B6" s="4" t="inlineStr">
        <is>
          <t>Annual Cash Flow</t>
        </is>
      </c>
      <c r="C6" s="45" t="n">
        <v>125000</v>
      </c>
    </row>
    <row r="7">
      <c r="B7" s="4" t="inlineStr">
        <is>
          <t>Project Duration (Years)</t>
        </is>
      </c>
      <c r="C7" s="46" t="n">
        <v>5</v>
      </c>
    </row>
    <row r="8">
      <c r="B8" s="4" t="inlineStr">
        <is>
          <t>Discount Rate</t>
        </is>
      </c>
      <c r="C8" s="47" t="n">
        <v>0.1</v>
      </c>
    </row>
    <row r="9">
      <c r="B9" s="4" t="inlineStr">
        <is>
          <t>Growth Rate (Annual)</t>
        </is>
      </c>
      <c r="C9" s="47" t="n">
        <v>0.03</v>
      </c>
    </row>
    <row r="11">
      <c r="B11" s="44" t="inlineStr">
        <is>
          <t>CALCULATED METRICS</t>
        </is>
      </c>
    </row>
    <row r="12">
      <c r="B12" s="4" t="inlineStr">
        <is>
          <t>Simple Payback Period</t>
        </is>
      </c>
      <c r="C12" s="48">
        <f>C5/C6</f>
        <v/>
      </c>
    </row>
    <row r="13">
      <c r="B13" s="4" t="inlineStr">
        <is>
          <t>Total Cash Inflows</t>
        </is>
      </c>
      <c r="C13" s="49">
        <f>C6*C7</f>
        <v/>
      </c>
    </row>
    <row r="14">
      <c r="B14" s="4" t="inlineStr">
        <is>
          <t>Total Return</t>
        </is>
      </c>
      <c r="C14" s="49">
        <f>C13-C5</f>
        <v/>
      </c>
    </row>
    <row r="15">
      <c r="B15" s="4" t="inlineStr">
        <is>
          <t>ROI Percentage</t>
        </is>
      </c>
      <c r="C15" s="50">
        <f>C14/C5</f>
        <v/>
      </c>
    </row>
    <row r="16">
      <c r="B16" s="4" t="inlineStr">
        <is>
          <t>Average Annual Return</t>
        </is>
      </c>
      <c r="C16" s="49">
        <f>C14/C7</f>
        <v/>
      </c>
    </row>
    <row r="18">
      <c r="B18" s="44" t="inlineStr">
        <is>
          <t>NET PRESENT VALUE ANALYSIS</t>
        </is>
      </c>
    </row>
    <row r="19">
      <c r="B19" s="51" t="inlineStr">
        <is>
          <t>Year</t>
        </is>
      </c>
      <c r="C19" s="51" t="inlineStr">
        <is>
          <t>Cash Flow</t>
        </is>
      </c>
      <c r="D19" s="51" t="inlineStr">
        <is>
          <t>Discount Factor</t>
        </is>
      </c>
      <c r="E19" s="51" t="inlineStr">
        <is>
          <t>Present Value</t>
        </is>
      </c>
    </row>
    <row r="20">
      <c r="B20" t="n">
        <v>0</v>
      </c>
      <c r="C20" s="25">
        <f>-C5</f>
        <v/>
      </c>
      <c r="D20" t="n">
        <v>1</v>
      </c>
      <c r="E20" s="25">
        <f>C20*D20</f>
        <v/>
      </c>
    </row>
    <row r="21">
      <c r="B21" s="4" t="n">
        <v>1</v>
      </c>
      <c r="C21" s="14">
        <f>$C$6*(1+$C$9)^(B21-1)</f>
        <v/>
      </c>
      <c r="D21" s="52">
        <f>1/(1+$C$8)^B21</f>
        <v/>
      </c>
      <c r="E21" s="14">
        <f>C21*D21</f>
        <v/>
      </c>
    </row>
    <row r="22">
      <c r="B22" s="4" t="n">
        <v>2</v>
      </c>
      <c r="C22" s="14">
        <f>$C$6*(1+$C$9)^(B22-1)</f>
        <v/>
      </c>
      <c r="D22" s="52">
        <f>1/(1+$C$8)^B22</f>
        <v/>
      </c>
      <c r="E22" s="14">
        <f>C22*D22</f>
        <v/>
      </c>
    </row>
    <row r="23">
      <c r="B23" s="4" t="n">
        <v>3</v>
      </c>
      <c r="C23" s="14">
        <f>$C$6*(1+$C$9)^(B23-1)</f>
        <v/>
      </c>
      <c r="D23" s="52">
        <f>1/(1+$C$8)^B23</f>
        <v/>
      </c>
      <c r="E23" s="14">
        <f>C23*D23</f>
        <v/>
      </c>
    </row>
    <row r="24">
      <c r="B24" s="4" t="n">
        <v>4</v>
      </c>
      <c r="C24" s="14">
        <f>$C$6*(1+$C$9)^(B24-1)</f>
        <v/>
      </c>
      <c r="D24" s="52">
        <f>1/(1+$C$8)^B24</f>
        <v/>
      </c>
      <c r="E24" s="14">
        <f>C24*D24</f>
        <v/>
      </c>
    </row>
    <row r="25">
      <c r="B25" s="4" t="n">
        <v>5</v>
      </c>
      <c r="C25" s="14">
        <f>$C$6*(1+$C$9)^(B25-1)</f>
        <v/>
      </c>
      <c r="D25" s="52">
        <f>1/(1+$C$8)^B25</f>
        <v/>
      </c>
      <c r="E25" s="14">
        <f>C25*D25</f>
        <v/>
      </c>
    </row>
    <row r="26">
      <c r="B26" s="30" t="inlineStr">
        <is>
          <t>NPV</t>
        </is>
      </c>
      <c r="E26" s="53">
        <f>SUM(E20:E25)</f>
        <v/>
      </c>
    </row>
    <row r="28">
      <c r="B28" s="44" t="inlineStr">
        <is>
          <t>INVESTMENT DECISION</t>
        </is>
      </c>
    </row>
    <row r="29">
      <c r="B29" t="inlineStr">
        <is>
          <t>Recommendation</t>
        </is>
      </c>
      <c r="C29" s="33">
        <f>IF(E26&gt;0,"INVEST - Positive NPV","DO NOT INVEST - Negative NPV")</f>
        <v/>
      </c>
    </row>
  </sheetData>
  <mergeCells count="7">
    <mergeCell ref="B18:E18"/>
    <mergeCell ref="B4:E4"/>
    <mergeCell ref="B28:E28"/>
    <mergeCell ref="B11:E11"/>
    <mergeCell ref="B2:E2"/>
    <mergeCell ref="C29:E29"/>
    <mergeCell ref="C26:D26"/>
  </mergeCells>
  <conditionalFormatting sqref="E26">
    <cfRule type="cellIs" priority="1" operator="greaterThan" dxfId="0">
      <formula>0</formula>
    </cfRule>
    <cfRule type="cellIs" priority="2" operator="lessThan" dxfId="2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2026-01-03T23:58:47Z</dcterms:created>
  <dcterms:modified xmlns:dcterms="http://purl.org/dc/terms/" xmlns:xsi="http://www.w3.org/2001/XMLSchema-instance" xsi:type="dcterms:W3CDTF">2026-01-03T23:58:47Z</dcterms:modified>
</cp:coreProperties>
</file>