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Resource Matrix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Milestone Timeline" sheetId="5" state="visible" r:id="rId5"/>
  </sheets>
  <definedNames>
    <definedName name="_xlnm._FilterDatabase" localSheetId="1" hidden="1">'Task Tracker'!$B$4:$J$19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yyyy-mm-dd h:mm:ss"/>
    <numFmt numFmtId="166" formatCode="YYYY-MM-DD"/>
    <numFmt numFmtId="167" formatCode="0&quot; days&quot;"/>
    <numFmt numFmtId="168" formatCode="0&quot; days&quot;;-0&quot; days&quot;"/>
    <numFmt numFmtId="169" formatCode="0.0"/>
  </numFmts>
  <fonts count="12">
    <font>
      <name val="Calibri"/>
      <family val="2"/>
      <color theme="1"/>
      <sz val="11"/>
      <scheme val="minor"/>
    </font>
    <font>
      <b val="1"/>
      <color rgb="005B2C6F"/>
      <sz val="18"/>
    </font>
    <font>
      <i val="1"/>
      <color rgb="00666666"/>
    </font>
    <font>
      <b val="1"/>
      <color rgb="00FFFFFF"/>
      <sz val="9"/>
    </font>
    <font>
      <b val="1"/>
      <sz val="20"/>
    </font>
    <font>
      <b val="1"/>
      <sz val="12"/>
    </font>
    <font>
      <b val="1"/>
      <color rgb="00FFFFFF"/>
      <sz val="11"/>
    </font>
    <font>
      <b val="1"/>
    </font>
    <font>
      <b val="1"/>
      <color rgb="001565C0"/>
      <sz val="16"/>
    </font>
    <font>
      <b val="1"/>
      <color rgb="0000897B"/>
      <sz val="16"/>
    </font>
    <font>
      <b val="1"/>
      <color rgb="00D32F2F"/>
      <sz val="16"/>
    </font>
    <font>
      <b val="1"/>
      <color rgb="007B1FA2"/>
      <sz val="16"/>
    </font>
  </fonts>
  <fills count="11">
    <fill>
      <patternFill/>
    </fill>
    <fill>
      <patternFill patternType="gray125"/>
    </fill>
    <fill>
      <patternFill patternType="solid">
        <fgColor rgb="005B2C6F"/>
        <bgColor rgb="005B2C6F"/>
      </patternFill>
    </fill>
    <fill>
      <patternFill patternType="solid">
        <fgColor rgb="002E7D32"/>
        <bgColor rgb="002E7D32"/>
      </patternFill>
    </fill>
    <fill>
      <patternFill patternType="solid">
        <fgColor rgb="00F57C00"/>
        <bgColor rgb="00F57C00"/>
      </patternFill>
    </fill>
    <fill>
      <patternFill patternType="solid">
        <fgColor rgb="00C62828"/>
        <bgColor rgb="00C62828"/>
      </patternFill>
    </fill>
    <fill>
      <patternFill patternType="solid">
        <fgColor rgb="00E8DAEF"/>
        <bgColor rgb="00E8DAE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2" borderId="0" pivotButton="0" quotePrefix="0" xfId="0"/>
    <xf numFmtId="9" fontId="0" fillId="0" borderId="1" pivotButton="0" quotePrefix="0" xfId="0"/>
    <xf numFmtId="0" fontId="2" fillId="0" borderId="1" pivotButton="0" quotePrefix="0" xfId="0"/>
    <xf numFmtId="0" fontId="7" fillId="6" borderId="1" pivotButton="0" quotePrefix="0" xfId="0"/>
    <xf numFmtId="164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/>
    </xf>
    <xf numFmtId="166" fontId="0" fillId="0" borderId="1" pivotButton="0" quotePrefix="0" xfId="0"/>
    <xf numFmtId="167" fontId="0" fillId="0" borderId="1" pivotButton="0" quotePrefix="0" xfId="0"/>
    <xf numFmtId="0" fontId="9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9" fontId="7" fillId="0" borderId="1" pivotButton="0" quotePrefix="0" xfId="0"/>
    <xf numFmtId="0" fontId="10" fillId="0" borderId="0" pivotButton="0" quotePrefix="0" xfId="0"/>
    <xf numFmtId="0" fontId="7" fillId="0" borderId="1" applyAlignment="1" pivotButton="0" quotePrefix="0" xfId="0">
      <alignment horizontal="center"/>
    </xf>
    <xf numFmtId="0" fontId="0" fillId="6" borderId="1" pivotButton="0" quotePrefix="0" xfId="0"/>
    <xf numFmtId="0" fontId="11" fillId="0" borderId="0" pivotButton="0" quotePrefix="0" xfId="0"/>
    <xf numFmtId="168" fontId="0" fillId="0" borderId="1" pivotButton="0" quotePrefix="0" xfId="0"/>
    <xf numFmtId="166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  <bgColor rgb="00C6EFCE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2C6F"/>
    <outlinePr summaryBelow="1" summaryRight="1"/>
    <pageSetUpPr/>
  </sheetPr>
  <dimension ref="B2:L22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2">
      <c r="B2" s="1" t="inlineStr">
        <is>
          <t>PROJECT PORTFOLIO DASHBOARD</t>
        </is>
      </c>
    </row>
    <row r="3">
      <c r="B3" s="2" t="inlineStr">
        <is>
          <t>Updated: 2026-01-03 17:01</t>
        </is>
      </c>
    </row>
    <row r="5">
      <c r="B5" s="3" t="inlineStr">
        <is>
          <t>TOTAL PROJECTS</t>
        </is>
      </c>
      <c r="C5" s="4" t="n"/>
      <c r="E5" s="5" t="inlineStr">
        <is>
          <t>ON TRACK</t>
        </is>
      </c>
      <c r="F5" s="4" t="n"/>
      <c r="H5" s="6" t="inlineStr">
        <is>
          <t>AT RISK</t>
        </is>
      </c>
      <c r="I5" s="4" t="n"/>
      <c r="K5" s="7" t="inlineStr">
        <is>
          <t>DELAYED</t>
        </is>
      </c>
      <c r="L5" s="4" t="n"/>
    </row>
    <row r="6">
      <c r="B6" s="8" t="n">
        <v>15</v>
      </c>
      <c r="C6" s="4" t="n"/>
      <c r="E6" s="8" t="n">
        <v>10</v>
      </c>
      <c r="F6" s="4" t="n"/>
      <c r="H6" s="8" t="n">
        <v>3</v>
      </c>
      <c r="I6" s="4" t="n"/>
      <c r="K6" s="8" t="n">
        <v>2</v>
      </c>
      <c r="L6" s="4" t="n"/>
    </row>
    <row r="9">
      <c r="B9" s="9" t="inlineStr">
        <is>
          <t>PORTFOLIO METRICS</t>
        </is>
      </c>
    </row>
    <row r="10">
      <c r="B10" s="4" t="inlineStr">
        <is>
          <t>Overall Completion</t>
        </is>
      </c>
      <c r="C10" s="10" t="n">
        <v>0.68</v>
      </c>
      <c r="D10" s="11" t="inlineStr">
        <is>
          <t>Progress</t>
        </is>
      </c>
    </row>
    <row r="11">
      <c r="B11" s="4" t="inlineStr">
        <is>
          <t>Budget Utilization</t>
        </is>
      </c>
      <c r="C11" s="10" t="n">
        <v>0.78</v>
      </c>
      <c r="D11" s="11" t="inlineStr">
        <is>
          <t>Spending</t>
        </is>
      </c>
    </row>
    <row r="12">
      <c r="B12" s="4" t="inlineStr">
        <is>
          <t>Resource Capacity</t>
        </is>
      </c>
      <c r="C12" s="10" t="n">
        <v>0.85</v>
      </c>
      <c r="D12" s="11" t="inlineStr">
        <is>
          <t>Allocation</t>
        </is>
      </c>
    </row>
    <row r="13">
      <c r="B13" s="4" t="inlineStr">
        <is>
          <t>Schedule Performance</t>
        </is>
      </c>
      <c r="C13" s="10" t="n">
        <v>0.92</v>
      </c>
      <c r="D13" s="11" t="inlineStr">
        <is>
          <t>On-time</t>
        </is>
      </c>
    </row>
    <row r="16">
      <c r="B16" s="9" t="inlineStr">
        <is>
          <t>PROJECT STATUS SUMMARY</t>
        </is>
      </c>
    </row>
    <row r="17">
      <c r="B17" s="12" t="inlineStr">
        <is>
          <t>Project</t>
        </is>
      </c>
      <c r="C17" s="12" t="inlineStr">
        <is>
          <t>Manager</t>
        </is>
      </c>
      <c r="D17" s="12" t="inlineStr">
        <is>
          <t>Start</t>
        </is>
      </c>
      <c r="E17" s="12" t="inlineStr">
        <is>
          <t>End</t>
        </is>
      </c>
      <c r="F17" s="12" t="inlineStr">
        <is>
          <t>Progress</t>
        </is>
      </c>
      <c r="G17" s="12" t="inlineStr">
        <is>
          <t>Budget</t>
        </is>
      </c>
      <c r="H17" s="12" t="inlineStr">
        <is>
          <t>Status</t>
        </is>
      </c>
    </row>
    <row r="18">
      <c r="B18" s="4" t="inlineStr">
        <is>
          <t>Website Redesign</t>
        </is>
      </c>
      <c r="C18" s="4" t="inlineStr">
        <is>
          <t>Alice</t>
        </is>
      </c>
      <c r="D18" s="4" t="inlineStr">
        <is>
          <t>2024-01-15</t>
        </is>
      </c>
      <c r="E18" s="4" t="inlineStr">
        <is>
          <t>2024-06-30</t>
        </is>
      </c>
      <c r="F18" s="10" t="n">
        <v>0.85</v>
      </c>
      <c r="G18" s="13" t="n">
        <v>125000</v>
      </c>
      <c r="H18" s="14" t="inlineStr">
        <is>
          <t>On Track</t>
        </is>
      </c>
    </row>
    <row r="19">
      <c r="B19" s="4" t="inlineStr">
        <is>
          <t>Mobile App v2</t>
        </is>
      </c>
      <c r="C19" s="4" t="inlineStr">
        <is>
          <t>Bob</t>
        </is>
      </c>
      <c r="D19" s="4" t="inlineStr">
        <is>
          <t>2024-02-01</t>
        </is>
      </c>
      <c r="E19" s="4" t="inlineStr">
        <is>
          <t>2024-08-15</t>
        </is>
      </c>
      <c r="F19" s="10" t="n">
        <v>0.6</v>
      </c>
      <c r="G19" s="13" t="n">
        <v>250000</v>
      </c>
      <c r="H19" s="15" t="inlineStr">
        <is>
          <t>At Risk</t>
        </is>
      </c>
    </row>
    <row r="20">
      <c r="B20" s="4" t="inlineStr">
        <is>
          <t>CRM Integration</t>
        </is>
      </c>
      <c r="C20" s="4" t="inlineStr">
        <is>
          <t>Carol</t>
        </is>
      </c>
      <c r="D20" s="4" t="inlineStr">
        <is>
          <t>2024-03-01</t>
        </is>
      </c>
      <c r="E20" s="4" t="inlineStr">
        <is>
          <t>2024-07-31</t>
        </is>
      </c>
      <c r="F20" s="10" t="n">
        <v>0.45</v>
      </c>
      <c r="G20" s="13" t="n">
        <v>85000</v>
      </c>
      <c r="H20" s="14" t="inlineStr">
        <is>
          <t>On Track</t>
        </is>
      </c>
    </row>
    <row r="21">
      <c r="B21" s="4" t="inlineStr">
        <is>
          <t>Data Migration</t>
        </is>
      </c>
      <c r="C21" s="4" t="inlineStr">
        <is>
          <t>David</t>
        </is>
      </c>
      <c r="D21" s="4" t="inlineStr">
        <is>
          <t>2024-01-01</t>
        </is>
      </c>
      <c r="E21" s="4" t="inlineStr">
        <is>
          <t>2024-04-30</t>
        </is>
      </c>
      <c r="F21" s="10" t="n">
        <v>1</v>
      </c>
      <c r="G21" s="13" t="n">
        <v>175000</v>
      </c>
      <c r="H21" s="16" t="inlineStr">
        <is>
          <t>Complete</t>
        </is>
      </c>
    </row>
    <row r="22">
      <c r="B22" s="4" t="inlineStr">
        <is>
          <t>API Gateway</t>
        </is>
      </c>
      <c r="C22" s="4" t="inlineStr">
        <is>
          <t>Eve</t>
        </is>
      </c>
      <c r="D22" s="4" t="inlineStr">
        <is>
          <t>2024-04-01</t>
        </is>
      </c>
      <c r="E22" s="4" t="inlineStr">
        <is>
          <t>2024-09-30</t>
        </is>
      </c>
      <c r="F22" s="10" t="n">
        <v>0.25</v>
      </c>
      <c r="G22" s="13" t="n">
        <v>95000</v>
      </c>
      <c r="H22" s="17" t="inlineStr">
        <is>
          <t>Delayed</t>
        </is>
      </c>
    </row>
  </sheetData>
  <mergeCells count="11">
    <mergeCell ref="B6:C6"/>
    <mergeCell ref="B9:E9"/>
    <mergeCell ref="E6:F6"/>
    <mergeCell ref="H6:I6"/>
    <mergeCell ref="B5:C5"/>
    <mergeCell ref="E5:F5"/>
    <mergeCell ref="K5:L5"/>
    <mergeCell ref="B2:H2"/>
    <mergeCell ref="H5:I5"/>
    <mergeCell ref="B16:H16"/>
    <mergeCell ref="K6:L6"/>
  </mergeCells>
  <conditionalFormatting sqref="C10:C13">
    <cfRule type="dataBar" priority="1">
      <dataBar showValue="1">
        <cfvo type="num" val="0"/>
        <cfvo type="num" val="1"/>
        <color rgb="005B2C6F"/>
      </dataBar>
    </cfRule>
  </conditionalFormatting>
  <conditionalFormatting sqref="F18:F22">
    <cfRule type="dataBar" priority="2">
      <dataBar showValue="1">
        <cfvo type="num" val="0"/>
        <cfvo type="num" val="1"/>
        <color rgb="002E7D32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B2:J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0" customWidth="1" min="10" max="10"/>
  </cols>
  <sheetData>
    <row r="2">
      <c r="B2" s="18" t="inlineStr">
        <is>
          <t>TASK MANAGEMENT TRACKER</t>
        </is>
      </c>
    </row>
    <row r="4">
      <c r="B4" s="19" t="inlineStr">
        <is>
          <t>Task ID</t>
        </is>
      </c>
      <c r="C4" s="19" t="inlineStr">
        <is>
          <t>Task Name</t>
        </is>
      </c>
      <c r="D4" s="19" t="inlineStr">
        <is>
          <t>Assigned To</t>
        </is>
      </c>
      <c r="E4" s="19" t="inlineStr">
        <is>
          <t>Start Date</t>
        </is>
      </c>
      <c r="F4" s="19" t="inlineStr">
        <is>
          <t>End Date</t>
        </is>
      </c>
      <c r="G4" s="19" t="inlineStr">
        <is>
          <t>Duration</t>
        </is>
      </c>
      <c r="H4" s="19" t="inlineStr">
        <is>
          <t>Status</t>
        </is>
      </c>
      <c r="I4" s="19" t="inlineStr">
        <is>
          <t>% Complete</t>
        </is>
      </c>
      <c r="J4" s="19" t="inlineStr">
        <is>
          <t>Priority</t>
        </is>
      </c>
    </row>
    <row r="5">
      <c r="B5" s="4" t="inlineStr">
        <is>
          <t>T-001</t>
        </is>
      </c>
      <c r="C5" s="4" t="inlineStr">
        <is>
          <t>Requirements Gathering</t>
        </is>
      </c>
      <c r="D5" s="4" t="inlineStr">
        <is>
          <t>Alice</t>
        </is>
      </c>
      <c r="E5" s="20" t="n">
        <v>45444</v>
      </c>
      <c r="F5" s="20" t="n">
        <v>45451</v>
      </c>
      <c r="G5" s="21">
        <f>F5-E5</f>
        <v/>
      </c>
      <c r="H5" s="4" t="inlineStr">
        <is>
          <t>Complete</t>
        </is>
      </c>
      <c r="I5" s="10" t="n">
        <v>1</v>
      </c>
      <c r="J5" s="4" t="inlineStr">
        <is>
          <t>High</t>
        </is>
      </c>
    </row>
    <row r="6">
      <c r="B6" s="4" t="inlineStr">
        <is>
          <t>T-002</t>
        </is>
      </c>
      <c r="C6" s="4" t="inlineStr">
        <is>
          <t>System Design</t>
        </is>
      </c>
      <c r="D6" s="4" t="inlineStr">
        <is>
          <t>Bob</t>
        </is>
      </c>
      <c r="E6" s="20" t="n">
        <v>45449</v>
      </c>
      <c r="F6" s="20" t="n">
        <v>45461</v>
      </c>
      <c r="G6" s="21">
        <f>F6-E6</f>
        <v/>
      </c>
      <c r="H6" s="4" t="inlineStr">
        <is>
          <t>Complete</t>
        </is>
      </c>
      <c r="I6" s="10" t="n">
        <v>1</v>
      </c>
      <c r="J6" s="4" t="inlineStr">
        <is>
          <t>High</t>
        </is>
      </c>
    </row>
    <row r="7">
      <c r="B7" s="4" t="inlineStr">
        <is>
          <t>T-003</t>
        </is>
      </c>
      <c r="C7" s="4" t="inlineStr">
        <is>
          <t>Database Schema</t>
        </is>
      </c>
      <c r="D7" s="4" t="inlineStr">
        <is>
          <t>Carol</t>
        </is>
      </c>
      <c r="E7" s="20" t="n">
        <v>45454</v>
      </c>
      <c r="F7" s="20" t="n">
        <v>45459</v>
      </c>
      <c r="G7" s="21">
        <f>F7-E7</f>
        <v/>
      </c>
      <c r="H7" s="4" t="inlineStr">
        <is>
          <t>Complete</t>
        </is>
      </c>
      <c r="I7" s="10" t="n">
        <v>1</v>
      </c>
      <c r="J7" s="4" t="inlineStr">
        <is>
          <t>High</t>
        </is>
      </c>
    </row>
    <row r="8">
      <c r="B8" s="4" t="inlineStr">
        <is>
          <t>T-004</t>
        </is>
      </c>
      <c r="C8" s="4" t="inlineStr">
        <is>
          <t>API Development</t>
        </is>
      </c>
      <c r="D8" s="4" t="inlineStr">
        <is>
          <t>David</t>
        </is>
      </c>
      <c r="E8" s="20" t="n">
        <v>45456</v>
      </c>
      <c r="F8" s="20" t="n">
        <v>45471</v>
      </c>
      <c r="G8" s="21">
        <f>F8-E8</f>
        <v/>
      </c>
      <c r="H8" s="4" t="inlineStr">
        <is>
          <t>In Progress</t>
        </is>
      </c>
      <c r="I8" s="10" t="n">
        <v>0.75</v>
      </c>
      <c r="J8" s="4" t="inlineStr">
        <is>
          <t>High</t>
        </is>
      </c>
    </row>
    <row r="9">
      <c r="B9" s="4" t="inlineStr">
        <is>
          <t>T-005</t>
        </is>
      </c>
      <c r="C9" s="4" t="inlineStr">
        <is>
          <t>Frontend Framework</t>
        </is>
      </c>
      <c r="D9" s="4" t="inlineStr">
        <is>
          <t>Eve</t>
        </is>
      </c>
      <c r="E9" s="20" t="n">
        <v>45459</v>
      </c>
      <c r="F9" s="20" t="n">
        <v>45469</v>
      </c>
      <c r="G9" s="21">
        <f>F9-E9</f>
        <v/>
      </c>
      <c r="H9" s="4" t="inlineStr">
        <is>
          <t>In Progress</t>
        </is>
      </c>
      <c r="I9" s="10" t="n">
        <v>0.6</v>
      </c>
      <c r="J9" s="4" t="inlineStr">
        <is>
          <t>Medium</t>
        </is>
      </c>
    </row>
    <row r="10">
      <c r="B10" s="4" t="inlineStr">
        <is>
          <t>T-006</t>
        </is>
      </c>
      <c r="C10" s="4" t="inlineStr">
        <is>
          <t>User Authentication</t>
        </is>
      </c>
      <c r="D10" s="4" t="inlineStr">
        <is>
          <t>Alice</t>
        </is>
      </c>
      <c r="E10" s="20" t="n">
        <v>45464</v>
      </c>
      <c r="F10" s="20" t="n">
        <v>45472</v>
      </c>
      <c r="G10" s="21">
        <f>F10-E10</f>
        <v/>
      </c>
      <c r="H10" s="4" t="inlineStr">
        <is>
          <t>In Progress</t>
        </is>
      </c>
      <c r="I10" s="10" t="n">
        <v>0.4</v>
      </c>
      <c r="J10" s="4" t="inlineStr">
        <is>
          <t>High</t>
        </is>
      </c>
    </row>
    <row r="11">
      <c r="B11" s="4" t="inlineStr">
        <is>
          <t>T-007</t>
        </is>
      </c>
      <c r="C11" s="4" t="inlineStr">
        <is>
          <t>Payment Integration</t>
        </is>
      </c>
      <c r="D11" s="4" t="inlineStr">
        <is>
          <t>Bob</t>
        </is>
      </c>
      <c r="E11" s="20" t="n">
        <v>45469</v>
      </c>
      <c r="F11" s="20" t="n">
        <v>45481</v>
      </c>
      <c r="G11" s="21">
        <f>F11-E11</f>
        <v/>
      </c>
      <c r="H11" s="4" t="inlineStr">
        <is>
          <t>Not Started</t>
        </is>
      </c>
      <c r="I11" s="10" t="n">
        <v>0</v>
      </c>
      <c r="J11" s="4" t="inlineStr">
        <is>
          <t>High</t>
        </is>
      </c>
    </row>
    <row r="12">
      <c r="B12" s="4" t="inlineStr">
        <is>
          <t>T-008</t>
        </is>
      </c>
      <c r="C12" s="4" t="inlineStr">
        <is>
          <t>Email Notifications</t>
        </is>
      </c>
      <c r="D12" s="4" t="inlineStr">
        <is>
          <t>Carol</t>
        </is>
      </c>
      <c r="E12" s="20" t="n">
        <v>45472</v>
      </c>
      <c r="F12" s="20" t="n">
        <v>45477</v>
      </c>
      <c r="G12" s="21">
        <f>F12-E12</f>
        <v/>
      </c>
      <c r="H12" s="4" t="inlineStr">
        <is>
          <t>Not Started</t>
        </is>
      </c>
      <c r="I12" s="10" t="n">
        <v>0</v>
      </c>
      <c r="J12" s="4" t="inlineStr">
        <is>
          <t>Medium</t>
        </is>
      </c>
    </row>
    <row r="13">
      <c r="B13" s="4" t="inlineStr">
        <is>
          <t>T-009</t>
        </is>
      </c>
      <c r="C13" s="4" t="inlineStr">
        <is>
          <t>Admin Dashboard</t>
        </is>
      </c>
      <c r="D13" s="4" t="inlineStr">
        <is>
          <t>David</t>
        </is>
      </c>
      <c r="E13" s="20" t="n">
        <v>45474</v>
      </c>
      <c r="F13" s="20" t="n">
        <v>45484</v>
      </c>
      <c r="G13" s="21">
        <f>F13-E13</f>
        <v/>
      </c>
      <c r="H13" s="4" t="inlineStr">
        <is>
          <t>Not Started</t>
        </is>
      </c>
      <c r="I13" s="10" t="n">
        <v>0</v>
      </c>
      <c r="J13" s="4" t="inlineStr">
        <is>
          <t>Medium</t>
        </is>
      </c>
    </row>
    <row r="14">
      <c r="B14" s="4" t="inlineStr">
        <is>
          <t>T-010</t>
        </is>
      </c>
      <c r="C14" s="4" t="inlineStr">
        <is>
          <t>Testing Phase 1</t>
        </is>
      </c>
      <c r="D14" s="4" t="inlineStr">
        <is>
          <t>Eve</t>
        </is>
      </c>
      <c r="E14" s="20" t="n">
        <v>45479</v>
      </c>
      <c r="F14" s="20" t="n">
        <v>45486</v>
      </c>
      <c r="G14" s="21">
        <f>F14-E14</f>
        <v/>
      </c>
      <c r="H14" s="4" t="inlineStr">
        <is>
          <t>Not Started</t>
        </is>
      </c>
      <c r="I14" s="10" t="n">
        <v>0</v>
      </c>
      <c r="J14" s="4" t="inlineStr">
        <is>
          <t>High</t>
        </is>
      </c>
    </row>
    <row r="15">
      <c r="B15" s="4" t="inlineStr">
        <is>
          <t>T-011</t>
        </is>
      </c>
      <c r="C15" s="4" t="inlineStr">
        <is>
          <t>Bug Fixes Round 1</t>
        </is>
      </c>
      <c r="D15" s="4" t="inlineStr">
        <is>
          <t>Alice</t>
        </is>
      </c>
      <c r="E15" s="20" t="n">
        <v>45484</v>
      </c>
      <c r="F15" s="20" t="n">
        <v>45489</v>
      </c>
      <c r="G15" s="21">
        <f>F15-E15</f>
        <v/>
      </c>
      <c r="H15" s="4" t="inlineStr">
        <is>
          <t>Not Started</t>
        </is>
      </c>
      <c r="I15" s="10" t="n">
        <v>0</v>
      </c>
      <c r="J15" s="4" t="inlineStr">
        <is>
          <t>High</t>
        </is>
      </c>
    </row>
    <row r="16">
      <c r="B16" s="4" t="inlineStr">
        <is>
          <t>T-012</t>
        </is>
      </c>
      <c r="C16" s="4" t="inlineStr">
        <is>
          <t>Performance Optimization</t>
        </is>
      </c>
      <c r="D16" s="4" t="inlineStr">
        <is>
          <t>Bob</t>
        </is>
      </c>
      <c r="E16" s="20" t="n">
        <v>45486</v>
      </c>
      <c r="F16" s="20" t="n">
        <v>45494</v>
      </c>
      <c r="G16" s="21">
        <f>F16-E16</f>
        <v/>
      </c>
      <c r="H16" s="4" t="inlineStr">
        <is>
          <t>Not Started</t>
        </is>
      </c>
      <c r="I16" s="10" t="n">
        <v>0</v>
      </c>
      <c r="J16" s="4" t="inlineStr">
        <is>
          <t>Medium</t>
        </is>
      </c>
    </row>
    <row r="17">
      <c r="B17" s="4" t="inlineStr">
        <is>
          <t>T-013</t>
        </is>
      </c>
      <c r="C17" s="4" t="inlineStr">
        <is>
          <t>Security Audit</t>
        </is>
      </c>
      <c r="D17" s="4" t="inlineStr">
        <is>
          <t>Carol</t>
        </is>
      </c>
      <c r="E17" s="20" t="n">
        <v>45489</v>
      </c>
      <c r="F17" s="20" t="n">
        <v>45494</v>
      </c>
      <c r="G17" s="21">
        <f>F17-E17</f>
        <v/>
      </c>
      <c r="H17" s="4" t="inlineStr">
        <is>
          <t>Not Started</t>
        </is>
      </c>
      <c r="I17" s="10" t="n">
        <v>0</v>
      </c>
      <c r="J17" s="4" t="inlineStr">
        <is>
          <t>High</t>
        </is>
      </c>
    </row>
    <row r="18">
      <c r="B18" s="4" t="inlineStr">
        <is>
          <t>T-014</t>
        </is>
      </c>
      <c r="C18" s="4" t="inlineStr">
        <is>
          <t>Documentation</t>
        </is>
      </c>
      <c r="D18" s="4" t="inlineStr">
        <is>
          <t>David</t>
        </is>
      </c>
      <c r="E18" s="20" t="n">
        <v>45492</v>
      </c>
      <c r="F18" s="20" t="n">
        <v>45499</v>
      </c>
      <c r="G18" s="21">
        <f>F18-E18</f>
        <v/>
      </c>
      <c r="H18" s="4" t="inlineStr">
        <is>
          <t>Blocked</t>
        </is>
      </c>
      <c r="I18" s="10" t="n">
        <v>0.1</v>
      </c>
      <c r="J18" s="4" t="inlineStr">
        <is>
          <t>Low</t>
        </is>
      </c>
    </row>
    <row r="19">
      <c r="B19" s="4" t="inlineStr">
        <is>
          <t>T-015</t>
        </is>
      </c>
      <c r="C19" s="4" t="inlineStr">
        <is>
          <t>Deployment</t>
        </is>
      </c>
      <c r="D19" s="4" t="inlineStr">
        <is>
          <t>Eve</t>
        </is>
      </c>
      <c r="E19" s="20" t="n">
        <v>45496</v>
      </c>
      <c r="F19" s="20" t="n">
        <v>45499</v>
      </c>
      <c r="G19" s="21">
        <f>F19-E19</f>
        <v/>
      </c>
      <c r="H19" s="4" t="inlineStr">
        <is>
          <t>Not Started</t>
        </is>
      </c>
      <c r="I19" s="10" t="n">
        <v>0</v>
      </c>
      <c r="J19" s="4" t="inlineStr">
        <is>
          <t>High</t>
        </is>
      </c>
    </row>
  </sheetData>
  <autoFilter ref="B4:J19"/>
  <mergeCells count="1">
    <mergeCell ref="B2:J2"/>
  </mergeCells>
  <conditionalFormatting sqref="H5:H19">
    <cfRule type="expression" priority="1" dxfId="0">
      <formula>$H5="Complete"</formula>
    </cfRule>
    <cfRule type="expression" priority="2" dxfId="1">
      <formula>$H5="In Progress"</formula>
    </cfRule>
    <cfRule type="expression" priority="3" dxfId="2">
      <formula>$H5="Not Started"</formula>
    </cfRule>
    <cfRule type="expression" priority="4" dxfId="3">
      <formula>$H5="Blocked"</formula>
    </cfRule>
  </conditionalFormatting>
  <conditionalFormatting sqref="I5:I19">
    <cfRule type="dataBar" priority="5">
      <dataBar showValue="1">
        <cfvo type="num" val="0"/>
        <cfvo type="num" val="1"/>
        <color rgb="001565C0"/>
      </dataBar>
    </cfRule>
  </conditionalFormatting>
  <conditionalFormatting sqref="J5:J19">
    <cfRule type="iconSet" priority="6">
      <iconSet iconSet="3Flags" showValue="1" reverse="1">
        <cfvo type="num" val="0"/>
        <cfvo type="num" val="2"/>
        <cfvo type="num" val="3"/>
      </iconSet>
    </cfRule>
  </conditionalFormatting>
  <dataValidations count="2">
    <dataValidation sqref="H5:H19" showDropDown="0" showInputMessage="0" showErrorMessage="0" allowBlank="1" error="Please select from the list" prompt="Select status" type="list">
      <formula1>"Not Started,In Progress,Complete,Blocked"</formula1>
    </dataValidation>
    <dataValidation sqref="J5:J1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897B"/>
    <outlinePr summaryBelow="1" summaryRight="1"/>
    <pageSetUpPr/>
  </sheetPr>
  <dimension ref="B2:I14"/>
  <sheetViews>
    <sheetView workbookViewId="0">
      <selection activeCell="A1" sqref="A1"/>
    </sheetView>
  </sheetViews>
  <sheetFormatPr baseColWidth="8" defaultRowHeight="15"/>
  <cols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2">
      <c r="B2" s="22" t="inlineStr">
        <is>
          <t>RESOURCE ALLOCATION MATRIX</t>
        </is>
      </c>
    </row>
    <row r="3">
      <c r="B3" s="2" t="inlineStr">
        <is>
          <t>Hours allocated per team member per project</t>
        </is>
      </c>
    </row>
    <row r="5">
      <c r="B5" s="23" t="inlineStr">
        <is>
          <t>Team Member</t>
        </is>
      </c>
      <c r="C5" s="19" t="inlineStr">
        <is>
          <t>Project A</t>
        </is>
      </c>
      <c r="D5" s="19" t="inlineStr">
        <is>
          <t>Project B</t>
        </is>
      </c>
      <c r="E5" s="19" t="inlineStr">
        <is>
          <t>Project C</t>
        </is>
      </c>
      <c r="F5" s="19" t="inlineStr">
        <is>
          <t>Project D</t>
        </is>
      </c>
      <c r="G5" s="19" t="inlineStr">
        <is>
          <t>Project E</t>
        </is>
      </c>
      <c r="H5" s="19" t="inlineStr">
        <is>
          <t>Total Hours</t>
        </is>
      </c>
      <c r="I5" s="19" t="inlineStr">
        <is>
          <t>Utilization %</t>
        </is>
      </c>
    </row>
    <row r="6">
      <c r="B6" s="4" t="inlineStr">
        <is>
          <t>Alice Chen</t>
        </is>
      </c>
      <c r="C6" s="24" t="n">
        <v>40</v>
      </c>
      <c r="D6" s="24" t="n">
        <v>32</v>
      </c>
      <c r="E6" s="24" t="n">
        <v>24</v>
      </c>
      <c r="F6" s="24" t="n">
        <v>16</v>
      </c>
      <c r="G6" s="24" t="n">
        <v>8</v>
      </c>
      <c r="H6" s="25">
        <f>SUM(C6:G6)</f>
        <v/>
      </c>
      <c r="I6" s="26">
        <f>H6/160</f>
        <v/>
      </c>
    </row>
    <row r="7">
      <c r="B7" s="4" t="inlineStr">
        <is>
          <t>Bob Smith</t>
        </is>
      </c>
      <c r="C7" s="24" t="n">
        <v>24</v>
      </c>
      <c r="D7" s="24" t="n">
        <v>48</v>
      </c>
      <c r="E7" s="24" t="n">
        <v>16</v>
      </c>
      <c r="F7" s="24" t="n">
        <v>32</v>
      </c>
      <c r="G7" s="24" t="n">
        <v>0</v>
      </c>
      <c r="H7" s="25">
        <f>SUM(C7:G7)</f>
        <v/>
      </c>
      <c r="I7" s="26">
        <f>H7/160</f>
        <v/>
      </c>
    </row>
    <row r="8">
      <c r="B8" s="4" t="inlineStr">
        <is>
          <t>Carol Davis</t>
        </is>
      </c>
      <c r="C8" s="24" t="n">
        <v>16</v>
      </c>
      <c r="D8" s="24" t="n">
        <v>24</v>
      </c>
      <c r="E8" s="24" t="n">
        <v>48</v>
      </c>
      <c r="F8" s="24" t="n">
        <v>8</v>
      </c>
      <c r="G8" s="24" t="n">
        <v>24</v>
      </c>
      <c r="H8" s="25">
        <f>SUM(C8:G8)</f>
        <v/>
      </c>
      <c r="I8" s="26">
        <f>H8/160</f>
        <v/>
      </c>
    </row>
    <row r="9">
      <c r="B9" s="4" t="inlineStr">
        <is>
          <t>David Lee</t>
        </is>
      </c>
      <c r="C9" s="24" t="n">
        <v>32</v>
      </c>
      <c r="D9" s="24" t="n">
        <v>16</v>
      </c>
      <c r="E9" s="24" t="n">
        <v>8</v>
      </c>
      <c r="F9" s="24" t="n">
        <v>40</v>
      </c>
      <c r="G9" s="24" t="n">
        <v>24</v>
      </c>
      <c r="H9" s="25">
        <f>SUM(C9:G9)</f>
        <v/>
      </c>
      <c r="I9" s="26">
        <f>H9/160</f>
        <v/>
      </c>
    </row>
    <row r="10">
      <c r="B10" s="4" t="inlineStr">
        <is>
          <t>Eve Wilson</t>
        </is>
      </c>
      <c r="C10" s="24" t="n">
        <v>8</v>
      </c>
      <c r="D10" s="24" t="n">
        <v>0</v>
      </c>
      <c r="E10" s="24" t="n">
        <v>32</v>
      </c>
      <c r="F10" s="24" t="n">
        <v>24</v>
      </c>
      <c r="G10" s="24" t="n">
        <v>56</v>
      </c>
      <c r="H10" s="25">
        <f>SUM(C10:G10)</f>
        <v/>
      </c>
      <c r="I10" s="26">
        <f>H10/160</f>
        <v/>
      </c>
    </row>
    <row r="11">
      <c r="B11" s="4" t="inlineStr">
        <is>
          <t>Frank Brown</t>
        </is>
      </c>
      <c r="C11" s="24" t="n">
        <v>24</v>
      </c>
      <c r="D11" s="24" t="n">
        <v>40</v>
      </c>
      <c r="E11" s="24" t="n">
        <v>0</v>
      </c>
      <c r="F11" s="24" t="n">
        <v>16</v>
      </c>
      <c r="G11" s="24" t="n">
        <v>40</v>
      </c>
      <c r="H11" s="25">
        <f>SUM(C11:G11)</f>
        <v/>
      </c>
      <c r="I11" s="26">
        <f>H11/160</f>
        <v/>
      </c>
    </row>
    <row r="12">
      <c r="B12" s="4" t="inlineStr">
        <is>
          <t>Grace Kim</t>
        </is>
      </c>
      <c r="C12" s="24" t="n">
        <v>16</v>
      </c>
      <c r="D12" s="24" t="n">
        <v>8</v>
      </c>
      <c r="E12" s="24" t="n">
        <v>24</v>
      </c>
      <c r="F12" s="24" t="n">
        <v>48</v>
      </c>
      <c r="G12" s="24" t="n">
        <v>24</v>
      </c>
      <c r="H12" s="25">
        <f>SUM(C12:G12)</f>
        <v/>
      </c>
      <c r="I12" s="26">
        <f>H12/160</f>
        <v/>
      </c>
    </row>
    <row r="13">
      <c r="B13" s="4" t="inlineStr">
        <is>
          <t>Henry Zhang</t>
        </is>
      </c>
      <c r="C13" s="24" t="n">
        <v>0</v>
      </c>
      <c r="D13" s="24" t="n">
        <v>32</v>
      </c>
      <c r="E13" s="24" t="n">
        <v>40</v>
      </c>
      <c r="F13" s="24" t="n">
        <v>8</v>
      </c>
      <c r="G13" s="24" t="n">
        <v>40</v>
      </c>
      <c r="H13" s="25">
        <f>SUM(C13:G13)</f>
        <v/>
      </c>
      <c r="I13" s="26">
        <f>H13/160</f>
        <v/>
      </c>
    </row>
    <row r="14">
      <c r="B14" s="12" t="inlineStr">
        <is>
          <t>Project Total</t>
        </is>
      </c>
      <c r="C14" s="12">
        <f>SUM(C6:C13)</f>
        <v/>
      </c>
      <c r="D14" s="12">
        <f>SUM(D6:D13)</f>
        <v/>
      </c>
      <c r="E14" s="12">
        <f>SUM(E6:E13)</f>
        <v/>
      </c>
      <c r="F14" s="12">
        <f>SUM(F6:F13)</f>
        <v/>
      </c>
      <c r="G14" s="12">
        <f>SUM(G6:G13)</f>
        <v/>
      </c>
    </row>
  </sheetData>
  <mergeCells count="1">
    <mergeCell ref="B2:I2"/>
  </mergeCells>
  <conditionalFormatting sqref="C6:G13">
    <cfRule type="colorScale" priority="1">
      <colorScale>
        <cfvo type="num" val="0"/>
        <cfvo type="num" val="30"/>
        <cfvo type="num" val="60"/>
        <color rgb="00FFFFFF"/>
        <color rgb="00BDD7EE"/>
        <color rgb="001565C0"/>
      </colorScale>
    </cfRule>
  </conditionalFormatting>
  <conditionalFormatting sqref="I6:I13">
    <cfRule type="cellIs" priority="2" operator="greaterThan" dxfId="4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32F2F"/>
    <outlinePr summaryBelow="1" summaryRight="1"/>
    <pageSetUpPr/>
  </sheetPr>
  <dimension ref="B2:K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30" customWidth="1" min="3" max="3"/>
    <col width="12" customWidth="1" min="4" max="4"/>
    <col width="12" customWidth="1" min="5" max="5"/>
    <col width="10" customWidth="1" min="6" max="6"/>
    <col width="12" customWidth="1" min="7" max="7"/>
    <col width="25" customWidth="1" min="8" max="8"/>
    <col width="14" customWidth="1" min="9" max="9"/>
    <col width="12" customWidth="1" min="10" max="10"/>
  </cols>
  <sheetData>
    <row r="2">
      <c r="B2" s="27" t="inlineStr">
        <is>
          <t>PROJECT RISK REGISTER</t>
        </is>
      </c>
    </row>
    <row r="4">
      <c r="B4" s="23" t="inlineStr">
        <is>
          <t>Risk ID</t>
        </is>
      </c>
      <c r="C4" s="23" t="inlineStr">
        <is>
          <t>Description</t>
        </is>
      </c>
      <c r="D4" s="23" t="inlineStr">
        <is>
          <t>Category</t>
        </is>
      </c>
      <c r="E4" s="23" t="inlineStr">
        <is>
          <t>Probability</t>
        </is>
      </c>
      <c r="F4" s="23" t="inlineStr">
        <is>
          <t>Impact</t>
        </is>
      </c>
      <c r="G4" s="23" t="inlineStr">
        <is>
          <t>Risk Score</t>
        </is>
      </c>
      <c r="H4" s="23" t="inlineStr">
        <is>
          <t>Mitigation</t>
        </is>
      </c>
      <c r="I4" s="23" t="inlineStr">
        <is>
          <t>Owner</t>
        </is>
      </c>
      <c r="J4" s="23" t="inlineStr">
        <is>
          <t>Status</t>
        </is>
      </c>
    </row>
    <row r="5">
      <c r="B5" s="4" t="inlineStr">
        <is>
          <t>R-001</t>
        </is>
      </c>
      <c r="C5" s="4" t="inlineStr">
        <is>
          <t>Key developer leaves project</t>
        </is>
      </c>
      <c r="D5" s="4" t="inlineStr">
        <is>
          <t>Resource</t>
        </is>
      </c>
      <c r="E5" s="24" t="n">
        <v>3</v>
      </c>
      <c r="F5" s="24" t="n">
        <v>5</v>
      </c>
      <c r="G5" s="28">
        <f>E5*F5</f>
        <v/>
      </c>
      <c r="H5" s="4" t="inlineStr">
        <is>
          <t>Backup training program</t>
        </is>
      </c>
      <c r="I5" s="4" t="inlineStr">
        <is>
          <t>HR Manager</t>
        </is>
      </c>
      <c r="J5" s="4" t="inlineStr">
        <is>
          <t>Open</t>
        </is>
      </c>
    </row>
    <row r="6">
      <c r="B6" s="4" t="inlineStr">
        <is>
          <t>R-002</t>
        </is>
      </c>
      <c r="C6" s="4" t="inlineStr">
        <is>
          <t>Third-party API changes</t>
        </is>
      </c>
      <c r="D6" s="4" t="inlineStr">
        <is>
          <t>Technical</t>
        </is>
      </c>
      <c r="E6" s="24" t="n">
        <v>4</v>
      </c>
      <c r="F6" s="24" t="n">
        <v>4</v>
      </c>
      <c r="G6" s="28">
        <f>E6*F6</f>
        <v/>
      </c>
      <c r="H6" s="4" t="inlineStr">
        <is>
          <t>Abstract API layer</t>
        </is>
      </c>
      <c r="I6" s="4" t="inlineStr">
        <is>
          <t>Tech Lead</t>
        </is>
      </c>
      <c r="J6" s="4" t="inlineStr">
        <is>
          <t>Mitigating</t>
        </is>
      </c>
    </row>
    <row r="7">
      <c r="B7" s="4" t="inlineStr">
        <is>
          <t>R-003</t>
        </is>
      </c>
      <c r="C7" s="4" t="inlineStr">
        <is>
          <t>Budget overrun by 20%</t>
        </is>
      </c>
      <c r="D7" s="4" t="inlineStr">
        <is>
          <t>Budget</t>
        </is>
      </c>
      <c r="E7" s="24" t="n">
        <v>2</v>
      </c>
      <c r="F7" s="24" t="n">
        <v>4</v>
      </c>
      <c r="G7" s="28">
        <f>E7*F7</f>
        <v/>
      </c>
      <c r="H7" s="4" t="inlineStr">
        <is>
          <t>Monthly budget reviews</t>
        </is>
      </c>
      <c r="I7" s="4" t="inlineStr">
        <is>
          <t>PM</t>
        </is>
      </c>
      <c r="J7" s="4" t="inlineStr">
        <is>
          <t>Open</t>
        </is>
      </c>
    </row>
    <row r="8">
      <c r="B8" s="4" t="inlineStr">
        <is>
          <t>R-004</t>
        </is>
      </c>
      <c r="C8" s="4" t="inlineStr">
        <is>
          <t>Requirements scope creep</t>
        </is>
      </c>
      <c r="D8" s="4" t="inlineStr">
        <is>
          <t>Schedule</t>
        </is>
      </c>
      <c r="E8" s="24" t="n">
        <v>4</v>
      </c>
      <c r="F8" s="24" t="n">
        <v>3</v>
      </c>
      <c r="G8" s="28">
        <f>E8*F8</f>
        <v/>
      </c>
      <c r="H8" s="4" t="inlineStr">
        <is>
          <t>Change control process</t>
        </is>
      </c>
      <c r="I8" s="4" t="inlineStr">
        <is>
          <t>PM</t>
        </is>
      </c>
      <c r="J8" s="4" t="inlineStr">
        <is>
          <t>Mitigating</t>
        </is>
      </c>
    </row>
    <row r="9">
      <c r="B9" s="4" t="inlineStr">
        <is>
          <t>R-005</t>
        </is>
      </c>
      <c r="C9" s="4" t="inlineStr">
        <is>
          <t>Security vulnerability found</t>
        </is>
      </c>
      <c r="D9" s="4" t="inlineStr">
        <is>
          <t>Technical</t>
        </is>
      </c>
      <c r="E9" s="24" t="n">
        <v>3</v>
      </c>
      <c r="F9" s="24" t="n">
        <v>5</v>
      </c>
      <c r="G9" s="28">
        <f>E9*F9</f>
        <v/>
      </c>
      <c r="H9" s="4" t="inlineStr">
        <is>
          <t>Security audits</t>
        </is>
      </c>
      <c r="I9" s="4" t="inlineStr">
        <is>
          <t>Security Lead</t>
        </is>
      </c>
      <c r="J9" s="4" t="inlineStr">
        <is>
          <t>Open</t>
        </is>
      </c>
    </row>
    <row r="10">
      <c r="B10" s="4" t="inlineStr">
        <is>
          <t>R-006</t>
        </is>
      </c>
      <c r="C10" s="4" t="inlineStr">
        <is>
          <t>Integration delays</t>
        </is>
      </c>
      <c r="D10" s="4" t="inlineStr">
        <is>
          <t>Schedule</t>
        </is>
      </c>
      <c r="E10" s="24" t="n">
        <v>3</v>
      </c>
      <c r="F10" s="24" t="n">
        <v>3</v>
      </c>
      <c r="G10" s="28">
        <f>E10*F10</f>
        <v/>
      </c>
      <c r="H10" s="4" t="inlineStr">
        <is>
          <t>Parallel development</t>
        </is>
      </c>
      <c r="I10" s="4" t="inlineStr">
        <is>
          <t>Tech Lead</t>
        </is>
      </c>
      <c r="J10" s="4" t="inlineStr">
        <is>
          <t>Closed</t>
        </is>
      </c>
    </row>
    <row r="11">
      <c r="B11" s="4" t="inlineStr">
        <is>
          <t>R-007</t>
        </is>
      </c>
      <c r="C11" s="4" t="inlineStr">
        <is>
          <t>Data migration issues</t>
        </is>
      </c>
      <c r="D11" s="4" t="inlineStr">
        <is>
          <t>Technical</t>
        </is>
      </c>
      <c r="E11" s="24" t="n">
        <v>4</v>
      </c>
      <c r="F11" s="24" t="n">
        <v>4</v>
      </c>
      <c r="G11" s="28">
        <f>E11*F11</f>
        <v/>
      </c>
      <c r="H11" s="4" t="inlineStr">
        <is>
          <t>Rollback procedure</t>
        </is>
      </c>
      <c r="I11" s="4" t="inlineStr">
        <is>
          <t>DBA</t>
        </is>
      </c>
      <c r="J11" s="4" t="inlineStr">
        <is>
          <t>Accepted</t>
        </is>
      </c>
    </row>
    <row r="12">
      <c r="B12" s="4" t="inlineStr">
        <is>
          <t>R-008</t>
        </is>
      </c>
      <c r="C12" s="4" t="inlineStr">
        <is>
          <t>Vendor contract renewal</t>
        </is>
      </c>
      <c r="D12" s="4" t="inlineStr">
        <is>
          <t>External</t>
        </is>
      </c>
      <c r="E12" s="24" t="n">
        <v>2</v>
      </c>
      <c r="F12" s="24" t="n">
        <v>3</v>
      </c>
      <c r="G12" s="28">
        <f>E12*F12</f>
        <v/>
      </c>
      <c r="H12" s="4" t="inlineStr">
        <is>
          <t>Early negotiation</t>
        </is>
      </c>
      <c r="I12" s="4" t="inlineStr">
        <is>
          <t>Procurement</t>
        </is>
      </c>
      <c r="J12" s="4" t="inlineStr">
        <is>
          <t>Open</t>
        </is>
      </c>
    </row>
    <row r="13">
      <c r="B13" s="4" t="inlineStr">
        <is>
          <t>R-009</t>
        </is>
      </c>
      <c r="C13" s="4" t="inlineStr">
        <is>
          <t>Performance bottleneck</t>
        </is>
      </c>
      <c r="D13" s="4" t="inlineStr">
        <is>
          <t>Technical</t>
        </is>
      </c>
      <c r="E13" s="24" t="n">
        <v>3</v>
      </c>
      <c r="F13" s="24" t="n">
        <v>4</v>
      </c>
      <c r="G13" s="28">
        <f>E13*F13</f>
        <v/>
      </c>
      <c r="H13" s="4" t="inlineStr">
        <is>
          <t>Load testing</t>
        </is>
      </c>
      <c r="I13" s="4" t="inlineStr">
        <is>
          <t>QA Lead</t>
        </is>
      </c>
      <c r="J13" s="4" t="inlineStr">
        <is>
          <t>Mitigating</t>
        </is>
      </c>
    </row>
    <row r="14">
      <c r="B14" s="4" t="inlineStr">
        <is>
          <t>R-010</t>
        </is>
      </c>
      <c r="C14" s="4" t="inlineStr">
        <is>
          <t>Regulatory compliance change</t>
        </is>
      </c>
      <c r="D14" s="4" t="inlineStr">
        <is>
          <t>External</t>
        </is>
      </c>
      <c r="E14" s="24" t="n">
        <v>2</v>
      </c>
      <c r="F14" s="24" t="n">
        <v>5</v>
      </c>
      <c r="G14" s="28">
        <f>E14*F14</f>
        <v/>
      </c>
      <c r="H14" s="4" t="inlineStr">
        <is>
          <t>Legal monitoring</t>
        </is>
      </c>
      <c r="I14" s="4" t="inlineStr">
        <is>
          <t>Compliance</t>
        </is>
      </c>
      <c r="J14" s="4" t="inlineStr">
        <is>
          <t>Open</t>
        </is>
      </c>
    </row>
    <row r="17">
      <c r="B17" s="9" t="inlineStr">
        <is>
          <t>RISK SUMMARY</t>
        </is>
      </c>
    </row>
    <row r="18">
      <c r="B18" s="17" t="inlineStr">
        <is>
          <t>High Risk (13-25)</t>
        </is>
      </c>
      <c r="C18" s="25">
        <f>COUNTIF(G5:G14,"&gt;=13")</f>
        <v/>
      </c>
    </row>
    <row r="19">
      <c r="B19" s="15" t="inlineStr">
        <is>
          <t>Medium Risk (6-12)</t>
        </is>
      </c>
      <c r="C19" s="25">
        <f>SUMPRODUCT((G5:G14&gt;=6)*(G5:G14&lt;=12))</f>
        <v/>
      </c>
    </row>
    <row r="20">
      <c r="B20" s="14" t="inlineStr">
        <is>
          <t>Low Risk (1-5)</t>
        </is>
      </c>
      <c r="C20" s="25">
        <f>COUNTIF(G5:G14,"&lt;=5")</f>
        <v/>
      </c>
    </row>
    <row r="21">
      <c r="B21" s="29" t="inlineStr">
        <is>
          <t>Total Risks</t>
        </is>
      </c>
      <c r="C21" s="25">
        <f>COUNTA(B5:B14)</f>
        <v/>
      </c>
    </row>
  </sheetData>
  <mergeCells count="2">
    <mergeCell ref="B17:D17"/>
    <mergeCell ref="B2:K2"/>
  </mergeCells>
  <conditionalFormatting sqref="G5:G14">
    <cfRule type="cellIs" priority="1" operator="between" dxfId="0">
      <formula>1</formula>
      <formula>5</formula>
    </cfRule>
    <cfRule type="cellIs" priority="2" operator="between" dxfId="5">
      <formula>6</formula>
      <formula>12</formula>
    </cfRule>
    <cfRule type="cellIs" priority="3" operator="between" dxfId="3">
      <formula>13</formula>
      <formula>25</formula>
    </cfRule>
  </conditionalFormatting>
  <dataValidations count="1">
    <dataValidation sqref="J5:J14" showDropDown="0" showInputMessage="0" showErrorMessage="0" allowBlank="1" type="list">
      <formula1>"Open,Mitigating,Closed,Accepted"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B2:G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2" max="2"/>
    <col width="14" customWidth="1" min="3" max="3"/>
    <col width="14" customWidth="1" min="4" max="4"/>
    <col width="14" customWidth="1" min="5" max="5"/>
    <col width="12" customWidth="1" min="6" max="6"/>
    <col width="30" customWidth="1" min="7" max="7"/>
  </cols>
  <sheetData>
    <row r="2">
      <c r="B2" s="30" t="inlineStr">
        <is>
          <t>PROJECT MILESTONE TIMELINE</t>
        </is>
      </c>
    </row>
    <row r="4">
      <c r="B4" s="23" t="inlineStr">
        <is>
          <t>Milestone</t>
        </is>
      </c>
      <c r="C4" s="23" t="inlineStr">
        <is>
          <t>Planned Date</t>
        </is>
      </c>
      <c r="D4" s="23" t="inlineStr">
        <is>
          <t>Actual Date</t>
        </is>
      </c>
      <c r="E4" s="23" t="inlineStr">
        <is>
          <t>Days Variance</t>
        </is>
      </c>
      <c r="F4" s="23" t="inlineStr">
        <is>
          <t>Status</t>
        </is>
      </c>
      <c r="G4" s="23" t="inlineStr">
        <is>
          <t>Notes</t>
        </is>
      </c>
    </row>
    <row r="5">
      <c r="B5" s="4" t="inlineStr">
        <is>
          <t>Project Kickoff</t>
        </is>
      </c>
      <c r="C5" s="4" t="inlineStr">
        <is>
          <t>2024-01-15</t>
        </is>
      </c>
      <c r="D5" s="4" t="inlineStr">
        <is>
          <t>2024-01-15</t>
        </is>
      </c>
      <c r="E5" s="31">
        <f>DATEVALUE(D5)-DATEVALUE(C5)</f>
        <v/>
      </c>
      <c r="F5" s="4">
        <f>IF(D5="-","Pending",IF(E5&lt;0,"Early",IF(E5=0,"On Time","Late")))</f>
        <v/>
      </c>
      <c r="G5" s="4" t="inlineStr">
        <is>
          <t>Completed on schedule</t>
        </is>
      </c>
    </row>
    <row r="6">
      <c r="B6" s="4" t="inlineStr">
        <is>
          <t>Requirements Signed Off</t>
        </is>
      </c>
      <c r="C6" s="4" t="inlineStr">
        <is>
          <t>2024-02-01</t>
        </is>
      </c>
      <c r="D6" s="4" t="inlineStr">
        <is>
          <t>2024-01-30</t>
        </is>
      </c>
      <c r="E6" s="31">
        <f>DATEVALUE(D6)-DATEVALUE(C6)</f>
        <v/>
      </c>
      <c r="F6" s="4">
        <f>IF(D6="-","Pending",IF(E6&lt;0,"Early",IF(E6=0,"On Time","Late")))</f>
        <v/>
      </c>
      <c r="G6" s="4" t="inlineStr">
        <is>
          <t>Completed early</t>
        </is>
      </c>
    </row>
    <row r="7">
      <c r="B7" s="4" t="inlineStr">
        <is>
          <t>Design Review</t>
        </is>
      </c>
      <c r="C7" s="4" t="inlineStr">
        <is>
          <t>2024-02-28</t>
        </is>
      </c>
      <c r="D7" s="4" t="inlineStr">
        <is>
          <t>2024-03-05</t>
        </is>
      </c>
      <c r="E7" s="31">
        <f>DATEVALUE(D7)-DATEVALUE(C7)</f>
        <v/>
      </c>
      <c r="F7" s="4">
        <f>IF(D7="-","Pending",IF(E7&lt;0,"Early",IF(E7=0,"On Time","Late")))</f>
        <v/>
      </c>
      <c r="G7" s="4" t="inlineStr">
        <is>
          <t>Minor delay due to revisions</t>
        </is>
      </c>
    </row>
    <row r="8">
      <c r="B8" s="4" t="inlineStr">
        <is>
          <t>Development Phase 1</t>
        </is>
      </c>
      <c r="C8" s="4" t="inlineStr">
        <is>
          <t>2024-04-15</t>
        </is>
      </c>
      <c r="D8" s="4" t="inlineStr">
        <is>
          <t>2024-04-12</t>
        </is>
      </c>
      <c r="E8" s="31">
        <f>DATEVALUE(D8)-DATEVALUE(C8)</f>
        <v/>
      </c>
      <c r="F8" s="4">
        <f>IF(D8="-","Pending",IF(E8&lt;0,"Early",IF(E8=0,"On Time","Late")))</f>
        <v/>
      </c>
      <c r="G8" s="4" t="inlineStr">
        <is>
          <t>Completed ahead of schedule</t>
        </is>
      </c>
    </row>
    <row r="9">
      <c r="B9" s="4" t="inlineStr">
        <is>
          <t>Integration Testing</t>
        </is>
      </c>
      <c r="C9" s="4" t="inlineStr">
        <is>
          <t>2024-05-30</t>
        </is>
      </c>
      <c r="D9" s="4" t="inlineStr">
        <is>
          <t>2024-06-03</t>
        </is>
      </c>
      <c r="E9" s="31">
        <f>DATEVALUE(D9)-DATEVALUE(C9)</f>
        <v/>
      </c>
      <c r="F9" s="4">
        <f>IF(D9="-","Pending",IF(E9&lt;0,"Early",IF(E9=0,"On Time","Late")))</f>
        <v/>
      </c>
      <c r="G9" s="4" t="inlineStr">
        <is>
          <t>Extended testing needed</t>
        </is>
      </c>
    </row>
    <row r="10">
      <c r="B10" s="4" t="inlineStr">
        <is>
          <t>User Acceptance Testing</t>
        </is>
      </c>
      <c r="C10" s="4" t="inlineStr">
        <is>
          <t>2024-06-30</t>
        </is>
      </c>
      <c r="D10" s="4" t="inlineStr">
        <is>
          <t>2024-06-28</t>
        </is>
      </c>
      <c r="E10" s="31">
        <f>DATEVALUE(D10)-DATEVALUE(C10)</f>
        <v/>
      </c>
      <c r="F10" s="4">
        <f>IF(D10="-","Pending",IF(E10&lt;0,"Early",IF(E10=0,"On Time","Late")))</f>
        <v/>
      </c>
      <c r="G10" s="4" t="inlineStr">
        <is>
          <t>Minor issues resolved</t>
        </is>
      </c>
    </row>
    <row r="11">
      <c r="B11" s="4" t="inlineStr">
        <is>
          <t>Security Audit</t>
        </is>
      </c>
      <c r="C11" s="4" t="inlineStr">
        <is>
          <t>2024-07-15</t>
        </is>
      </c>
      <c r="D11" s="4" t="inlineStr">
        <is>
          <t>-</t>
        </is>
      </c>
      <c r="E11" s="4" t="inlineStr">
        <is>
          <t>-</t>
        </is>
      </c>
      <c r="F11" s="4">
        <f>IF(D11="-","Pending",IF(E11&lt;0,"Early",IF(E11=0,"On Time","Late")))</f>
        <v/>
      </c>
      <c r="G11" s="4" t="inlineStr">
        <is>
          <t>Scheduled</t>
        </is>
      </c>
    </row>
    <row r="12">
      <c r="B12" s="4" t="inlineStr">
        <is>
          <t>Performance Testing</t>
        </is>
      </c>
      <c r="C12" s="4" t="inlineStr">
        <is>
          <t>2024-07-30</t>
        </is>
      </c>
      <c r="D12" s="4" t="inlineStr">
        <is>
          <t>-</t>
        </is>
      </c>
      <c r="E12" s="4" t="inlineStr">
        <is>
          <t>-</t>
        </is>
      </c>
      <c r="F12" s="4">
        <f>IF(D12="-","Pending",IF(E12&lt;0,"Early",IF(E12=0,"On Time","Late")))</f>
        <v/>
      </c>
      <c r="G12" s="4" t="inlineStr">
        <is>
          <t>Scheduled</t>
        </is>
      </c>
    </row>
    <row r="13">
      <c r="B13" s="4" t="inlineStr">
        <is>
          <t>Go-Live Preparation</t>
        </is>
      </c>
      <c r="C13" s="4" t="inlineStr">
        <is>
          <t>2024-08-15</t>
        </is>
      </c>
      <c r="D13" s="4" t="inlineStr">
        <is>
          <t>-</t>
        </is>
      </c>
      <c r="E13" s="4" t="inlineStr">
        <is>
          <t>-</t>
        </is>
      </c>
      <c r="F13" s="4">
        <f>IF(D13="-","Pending",IF(E13&lt;0,"Early",IF(E13=0,"On Time","Late")))</f>
        <v/>
      </c>
      <c r="G13" s="4" t="inlineStr">
        <is>
          <t>Pending</t>
        </is>
      </c>
    </row>
    <row r="14">
      <c r="B14" s="4" t="inlineStr">
        <is>
          <t>Production Deployment</t>
        </is>
      </c>
      <c r="C14" s="4" t="inlineStr">
        <is>
          <t>2024-08-30</t>
        </is>
      </c>
      <c r="D14" s="4" t="inlineStr">
        <is>
          <t>-</t>
        </is>
      </c>
      <c r="E14" s="4" t="inlineStr">
        <is>
          <t>-</t>
        </is>
      </c>
      <c r="F14" s="4">
        <f>IF(D14="-","Pending",IF(E14&lt;0,"Early",IF(E14=0,"On Time","Late")))</f>
        <v/>
      </c>
      <c r="G14" s="4" t="inlineStr">
        <is>
          <t>Pending</t>
        </is>
      </c>
    </row>
    <row r="15">
      <c r="B15" s="4" t="inlineStr">
        <is>
          <t>Post-Launch Support</t>
        </is>
      </c>
      <c r="C15" s="4" t="inlineStr">
        <is>
          <t>2024-09-15</t>
        </is>
      </c>
      <c r="D15" s="4" t="inlineStr">
        <is>
          <t>-</t>
        </is>
      </c>
      <c r="E15" s="4" t="inlineStr">
        <is>
          <t>-</t>
        </is>
      </c>
      <c r="F15" s="4">
        <f>IF(D15="-","Pending",IF(E15&lt;0,"Early",IF(E15=0,"On Time","Late")))</f>
        <v/>
      </c>
      <c r="G15" s="4" t="inlineStr">
        <is>
          <t>Planned</t>
        </is>
      </c>
    </row>
    <row r="16">
      <c r="B16" s="4" t="inlineStr">
        <is>
          <t>Project Closure</t>
        </is>
      </c>
      <c r="C16" s="4" t="inlineStr">
        <is>
          <t>2024-09-30</t>
        </is>
      </c>
      <c r="D16" s="4" t="inlineStr">
        <is>
          <t>-</t>
        </is>
      </c>
      <c r="E16" s="4" t="inlineStr">
        <is>
          <t>-</t>
        </is>
      </c>
      <c r="F16" s="4">
        <f>IF(D16="-","Pending",IF(E16&lt;0,"Early",IF(E16=0,"On Time","Late")))</f>
        <v/>
      </c>
      <c r="G16" s="4" t="inlineStr">
        <is>
          <t>Planned</t>
        </is>
      </c>
    </row>
    <row r="19">
      <c r="B19" s="9" t="inlineStr">
        <is>
          <t>TIMELINE ANALYSIS</t>
        </is>
      </c>
    </row>
    <row r="20">
      <c r="B20" t="inlineStr">
        <is>
          <t>Today's Date</t>
        </is>
      </c>
      <c r="C20" s="32">
        <f>TODAY()</f>
        <v/>
      </c>
    </row>
    <row r="21">
      <c r="B21" t="inlineStr">
        <is>
          <t>Milestones Completed</t>
        </is>
      </c>
      <c r="C21">
        <f>COUNTIF(D5:D16,"&lt;&gt;-")</f>
        <v/>
      </c>
    </row>
    <row r="22">
      <c r="B22" t="inlineStr">
        <is>
          <t>Average Variance (days)</t>
        </is>
      </c>
      <c r="C22" s="33">
        <f>AVERAGEIF(E5:E16,"&lt;&gt;-")</f>
        <v/>
      </c>
    </row>
    <row r="23">
      <c r="B23" t="inlineStr">
        <is>
          <t>Max Delay (days)</t>
        </is>
      </c>
      <c r="C23">
        <f>MAX(E5:E16)</f>
        <v/>
      </c>
    </row>
  </sheetData>
  <mergeCells count="2">
    <mergeCell ref="B2:G2"/>
    <mergeCell ref="B19:D19"/>
  </mergeCells>
  <conditionalFormatting sqref="E5:E16">
    <cfRule type="cellIs" priority="1" operator="lessThan" dxfId="0">
      <formula>0</formula>
    </cfRule>
    <cfRule type="cellIs" priority="2" operator="equal" dxfId="1">
      <formula>0</formula>
    </cfRule>
    <cfRule type="cellIs" priority="3" operator="greater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2026-01-04T00:01:13Z</dcterms:created>
  <dcterms:modified xmlns:dcterms="http://purl.org/dc/terms/" xmlns:xsi="http://www.w3.org/2001/XMLSchema-instance" xsi:type="dcterms:W3CDTF">2026-01-04T00:01:13Z</dcterms:modified>
</cp:coreProperties>
</file>