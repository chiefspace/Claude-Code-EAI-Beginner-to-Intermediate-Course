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Sales Analysis" sheetId="2" state="visible" r:id="rId2"/>
    <sheet xmlns:r="http://schemas.openxmlformats.org/officeDocument/2006/relationships" name="Inventory Management" sheetId="3" state="visible" r:id="rId3"/>
    <sheet xmlns:r="http://schemas.openxmlformats.org/officeDocument/2006/relationships" name="Customer Segmentation" sheetId="4" state="visible" r:id="rId4"/>
    <sheet xmlns:r="http://schemas.openxmlformats.org/officeDocument/2006/relationships" name="Forecasting Model" sheetId="5" state="visible" r:id="rId5"/>
  </sheets>
  <definedNames>
    <definedName name="_xlnm._FilterDatabase" localSheetId="0" hidden="1">'Product Catalog'!$B$4:$L$24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%"/>
    <numFmt numFmtId="166" formatCode="&quot;$&quot;#,##0"/>
    <numFmt numFmtId="167" formatCode="0.0%;(0.0%)"/>
    <numFmt numFmtId="168" formatCode="&quot;$&quot;#,##0;(&quot;$&quot;#,##0)"/>
    <numFmt numFmtId="169" formatCode="0.0"/>
    <numFmt numFmtId="170" formatCode="0&quot; days&quot;"/>
  </numFmts>
  <fonts count="11">
    <font>
      <name val="Calibri"/>
      <family val="2"/>
      <color theme="1"/>
      <sz val="11"/>
      <scheme val="minor"/>
    </font>
    <font>
      <b val="1"/>
      <color rgb="000D47A1"/>
      <sz val="18"/>
    </font>
    <font>
      <b val="1"/>
      <color rgb="00FFFFFF"/>
      <sz val="11"/>
    </font>
    <font>
      <b val="1"/>
    </font>
    <font>
      <b val="1"/>
      <color rgb="002E7D32"/>
      <sz val="18"/>
    </font>
    <font>
      <b val="1"/>
      <sz val="12"/>
    </font>
    <font>
      <b val="1"/>
      <sz val="11"/>
    </font>
    <font>
      <b val="1"/>
      <color rgb="00FF6F00"/>
      <sz val="18"/>
    </font>
    <font>
      <b val="1"/>
      <color rgb="007B1FA2"/>
      <sz val="18"/>
    </font>
    <font>
      <i val="1"/>
      <color rgb="00666666"/>
    </font>
    <font>
      <b val="1"/>
      <color rgb="0000695C"/>
      <sz val="18"/>
    </font>
  </fonts>
  <fills count="1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E3F2FD"/>
        <bgColor rgb="00E3F2F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BBDEFB"/>
        <bgColor rgb="00BBDEFB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0" borderId="0" pivotButton="0" quotePrefix="0" xfId="0"/>
    <xf numFmtId="166" fontId="3" fillId="0" borderId="0" pivotButton="0" quotePrefix="0" xfId="0"/>
    <xf numFmtId="0" fontId="2" fillId="2" borderId="0" pivotButton="0" quotePrefix="0" xfId="0"/>
    <xf numFmtId="0" fontId="3" fillId="8" borderId="1" pivotButton="0" quotePrefix="0" xfId="0"/>
    <xf numFmtId="0" fontId="4" fillId="0" borderId="0" pivotButton="0" quotePrefix="0" xfId="0"/>
    <xf numFmtId="0" fontId="3" fillId="8" borderId="1" applyAlignment="1" pivotButton="0" quotePrefix="0" xfId="0">
      <alignment horizontal="center"/>
    </xf>
    <xf numFmtId="166" fontId="3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166" fontId="3" fillId="8" borderId="1" pivotButton="0" quotePrefix="0" xfId="0"/>
    <xf numFmtId="165" fontId="3" fillId="8" borderId="1" pivotButton="0" quotePrefix="0" xfId="0"/>
    <xf numFmtId="165" fontId="3" fillId="0" borderId="1" pivotButton="0" quotePrefix="0" xfId="0"/>
    <xf numFmtId="168" fontId="0" fillId="0" borderId="1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wrapText="1"/>
    </xf>
    <xf numFmtId="169" fontId="0" fillId="0" borderId="1" pivotButton="0" quotePrefix="0" xfId="0"/>
    <xf numFmtId="1" fontId="0" fillId="0" borderId="1" pivotButton="0" quotePrefix="0" xfId="0"/>
    <xf numFmtId="170" fontId="0" fillId="0" borderId="1" pivotButton="0" quotePrefix="0" xfId="0"/>
    <xf numFmtId="0" fontId="3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10" fillId="0" borderId="0" pivotButton="0" quotePrefix="0" xfId="0"/>
    <xf numFmtId="0" fontId="0" fillId="8" borderId="1" pivotButton="0" quotePrefix="0" xfId="0"/>
    <xf numFmtId="166" fontId="3" fillId="5" borderId="1" pivotButton="0" quotePrefix="0" xfId="0"/>
    <xf numFmtId="0" fontId="3" fillId="9" borderId="0" pivotButton="0" quotePrefix="0" xfId="0"/>
  </cellXfs>
  <cellStyles count="1">
    <cellStyle name="Normal" xfId="0" builtinId="0" hidden="0"/>
  </cellStyles>
  <dxfs count="7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B2:L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0" customWidth="1" min="12" max="12"/>
  </cols>
  <sheetData>
    <row r="2">
      <c r="B2" s="1" t="inlineStr">
        <is>
          <t>PRODUCT CATALOG &amp; INVENTORY</t>
        </is>
      </c>
    </row>
    <row r="4">
      <c r="B4" s="2" t="inlineStr">
        <is>
          <t>SKU</t>
        </is>
      </c>
      <c r="C4" s="2" t="inlineStr">
        <is>
          <t>Product Name</t>
        </is>
      </c>
      <c r="D4" s="2" t="inlineStr">
        <is>
          <t>Category</t>
        </is>
      </c>
      <c r="E4" s="2" t="inlineStr">
        <is>
          <t>Unit Cost</t>
        </is>
      </c>
      <c r="F4" s="2" t="inlineStr">
        <is>
          <t>Sell Price</t>
        </is>
      </c>
      <c r="G4" s="2" t="inlineStr">
        <is>
          <t>Margin</t>
        </is>
      </c>
      <c r="H4" s="2" t="inlineStr">
        <is>
          <t>Margin %</t>
        </is>
      </c>
      <c r="I4" s="2" t="inlineStr">
        <is>
          <t>Stock Qty</t>
        </is>
      </c>
      <c r="J4" s="2" t="inlineStr">
        <is>
          <t>Stock Value</t>
        </is>
      </c>
      <c r="K4" s="2" t="inlineStr">
        <is>
          <t>Reorder Pt</t>
        </is>
      </c>
      <c r="L4" s="2" t="inlineStr">
        <is>
          <t>Status</t>
        </is>
      </c>
    </row>
    <row r="5">
      <c r="B5" s="3" t="inlineStr">
        <is>
          <t>SKU001</t>
        </is>
      </c>
      <c r="C5" s="3" t="inlineStr">
        <is>
          <t>Wireless Headphones</t>
        </is>
      </c>
      <c r="D5" s="4" t="inlineStr">
        <is>
          <t>Electronics</t>
        </is>
      </c>
      <c r="E5" s="5" t="n">
        <v>45</v>
      </c>
      <c r="F5" s="5" t="n">
        <v>89.98999999999999</v>
      </c>
      <c r="G5" s="5">
        <f>F5-E5</f>
        <v/>
      </c>
      <c r="H5" s="6">
        <f>G5/E5</f>
        <v/>
      </c>
      <c r="I5" s="3" t="n">
        <v>85</v>
      </c>
      <c r="J5" s="7">
        <f>I5*E5</f>
        <v/>
      </c>
      <c r="K5" s="3" t="n">
        <v>50</v>
      </c>
      <c r="L5" s="3">
        <f>IF(I5&lt;=K5,"REORDER","OK")</f>
        <v/>
      </c>
    </row>
    <row r="6">
      <c r="B6" s="3" t="inlineStr">
        <is>
          <t>SKU002</t>
        </is>
      </c>
      <c r="C6" s="3" t="inlineStr">
        <is>
          <t>Bluetooth Speaker</t>
        </is>
      </c>
      <c r="D6" s="4" t="inlineStr">
        <is>
          <t>Electronics</t>
        </is>
      </c>
      <c r="E6" s="5" t="n">
        <v>32</v>
      </c>
      <c r="F6" s="5" t="n">
        <v>59.99</v>
      </c>
      <c r="G6" s="5">
        <f>F6-E6</f>
        <v/>
      </c>
      <c r="H6" s="6">
        <f>G6/E6</f>
        <v/>
      </c>
      <c r="I6" s="3" t="n">
        <v>120</v>
      </c>
      <c r="J6" s="7">
        <f>I6*E6</f>
        <v/>
      </c>
      <c r="K6" s="3" t="n">
        <v>50</v>
      </c>
      <c r="L6" s="3">
        <f>IF(I6&lt;=K6,"REORDER","OK")</f>
        <v/>
      </c>
    </row>
    <row r="7">
      <c r="B7" s="3" t="inlineStr">
        <is>
          <t>SKU003</t>
        </is>
      </c>
      <c r="C7" s="3" t="inlineStr">
        <is>
          <t>USB-C Hub</t>
        </is>
      </c>
      <c r="D7" s="4" t="inlineStr">
        <is>
          <t>Electronics</t>
        </is>
      </c>
      <c r="E7" s="5" t="n">
        <v>18</v>
      </c>
      <c r="F7" s="5" t="n">
        <v>39.99</v>
      </c>
      <c r="G7" s="5">
        <f>F7-E7</f>
        <v/>
      </c>
      <c r="H7" s="6">
        <f>G7/E7</f>
        <v/>
      </c>
      <c r="I7" s="3" t="n">
        <v>200</v>
      </c>
      <c r="J7" s="7">
        <f>I7*E7</f>
        <v/>
      </c>
      <c r="K7" s="3" t="n">
        <v>50</v>
      </c>
      <c r="L7" s="3">
        <f>IF(I7&lt;=K7,"REORDER","OK")</f>
        <v/>
      </c>
    </row>
    <row r="8">
      <c r="B8" s="3" t="inlineStr">
        <is>
          <t>SKU004</t>
        </is>
      </c>
      <c r="C8" s="3" t="inlineStr">
        <is>
          <t>Smart Watch</t>
        </is>
      </c>
      <c r="D8" s="4" t="inlineStr">
        <is>
          <t>Electronics</t>
        </is>
      </c>
      <c r="E8" s="5" t="n">
        <v>95</v>
      </c>
      <c r="F8" s="5" t="n">
        <v>199.99</v>
      </c>
      <c r="G8" s="5">
        <f>F8-E8</f>
        <v/>
      </c>
      <c r="H8" s="6">
        <f>G8/E8</f>
        <v/>
      </c>
      <c r="I8" s="3" t="n">
        <v>45</v>
      </c>
      <c r="J8" s="7">
        <f>I8*E8</f>
        <v/>
      </c>
      <c r="K8" s="3" t="n">
        <v>50</v>
      </c>
      <c r="L8" s="3">
        <f>IF(I8&lt;=K8,"REORDER","OK")</f>
        <v/>
      </c>
    </row>
    <row r="9">
      <c r="B9" s="3" t="inlineStr">
        <is>
          <t>SKU005</t>
        </is>
      </c>
      <c r="C9" s="3" t="inlineStr">
        <is>
          <t>Cotton T-Shirt</t>
        </is>
      </c>
      <c r="D9" s="8" t="inlineStr">
        <is>
          <t>Apparel</t>
        </is>
      </c>
      <c r="E9" s="5" t="n">
        <v>8</v>
      </c>
      <c r="F9" s="5" t="n">
        <v>24.99</v>
      </c>
      <c r="G9" s="5">
        <f>F9-E9</f>
        <v/>
      </c>
      <c r="H9" s="6">
        <f>G9/E9</f>
        <v/>
      </c>
      <c r="I9" s="3" t="n">
        <v>350</v>
      </c>
      <c r="J9" s="7">
        <f>I9*E9</f>
        <v/>
      </c>
      <c r="K9" s="3" t="n">
        <v>100</v>
      </c>
      <c r="L9" s="3">
        <f>IF(I9&lt;=K9,"REORDER","OK")</f>
        <v/>
      </c>
    </row>
    <row r="10">
      <c r="B10" s="3" t="inlineStr">
        <is>
          <t>SKU006</t>
        </is>
      </c>
      <c r="C10" s="3" t="inlineStr">
        <is>
          <t>Denim Jeans</t>
        </is>
      </c>
      <c r="D10" s="8" t="inlineStr">
        <is>
          <t>Apparel</t>
        </is>
      </c>
      <c r="E10" s="5" t="n">
        <v>22</v>
      </c>
      <c r="F10" s="5" t="n">
        <v>59.99</v>
      </c>
      <c r="G10" s="5">
        <f>F10-E10</f>
        <v/>
      </c>
      <c r="H10" s="6">
        <f>G10/E10</f>
        <v/>
      </c>
      <c r="I10" s="3" t="n">
        <v>180</v>
      </c>
      <c r="J10" s="7">
        <f>I10*E10</f>
        <v/>
      </c>
      <c r="K10" s="3" t="n">
        <v>100</v>
      </c>
      <c r="L10" s="3">
        <f>IF(I10&lt;=K10,"REORDER","OK")</f>
        <v/>
      </c>
    </row>
    <row r="11">
      <c r="B11" s="3" t="inlineStr">
        <is>
          <t>SKU007</t>
        </is>
      </c>
      <c r="C11" s="3" t="inlineStr">
        <is>
          <t>Running Shoes</t>
        </is>
      </c>
      <c r="D11" s="8" t="inlineStr">
        <is>
          <t>Apparel</t>
        </is>
      </c>
      <c r="E11" s="5" t="n">
        <v>35</v>
      </c>
      <c r="F11" s="5" t="n">
        <v>89.98999999999999</v>
      </c>
      <c r="G11" s="5">
        <f>F11-E11</f>
        <v/>
      </c>
      <c r="H11" s="6">
        <f>G11/E11</f>
        <v/>
      </c>
      <c r="I11" s="3" t="n">
        <v>95</v>
      </c>
      <c r="J11" s="7">
        <f>I11*E11</f>
        <v/>
      </c>
      <c r="K11" s="3" t="n">
        <v>100</v>
      </c>
      <c r="L11" s="3">
        <f>IF(I11&lt;=K11,"REORDER","OK")</f>
        <v/>
      </c>
    </row>
    <row r="12">
      <c r="B12" s="3" t="inlineStr">
        <is>
          <t>SKU008</t>
        </is>
      </c>
      <c r="C12" s="3" t="inlineStr">
        <is>
          <t>Winter Jacket</t>
        </is>
      </c>
      <c r="D12" s="8" t="inlineStr">
        <is>
          <t>Apparel</t>
        </is>
      </c>
      <c r="E12" s="5" t="n">
        <v>55</v>
      </c>
      <c r="F12" s="5" t="n">
        <v>149.99</v>
      </c>
      <c r="G12" s="5">
        <f>F12-E12</f>
        <v/>
      </c>
      <c r="H12" s="6">
        <f>G12/E12</f>
        <v/>
      </c>
      <c r="I12" s="3" t="n">
        <v>60</v>
      </c>
      <c r="J12" s="7">
        <f>I12*E12</f>
        <v/>
      </c>
      <c r="K12" s="3" t="n">
        <v>100</v>
      </c>
      <c r="L12" s="3">
        <f>IF(I12&lt;=K12,"REORDER","OK")</f>
        <v/>
      </c>
    </row>
    <row r="13">
      <c r="B13" s="3" t="inlineStr">
        <is>
          <t>SKU009</t>
        </is>
      </c>
      <c r="C13" s="3" t="inlineStr">
        <is>
          <t>Ceramic Vase</t>
        </is>
      </c>
      <c r="D13" s="9" t="inlineStr">
        <is>
          <t>Home</t>
        </is>
      </c>
      <c r="E13" s="5" t="n">
        <v>12</v>
      </c>
      <c r="F13" s="5" t="n">
        <v>34.99</v>
      </c>
      <c r="G13" s="5">
        <f>F13-E13</f>
        <v/>
      </c>
      <c r="H13" s="6">
        <f>G13/E13</f>
        <v/>
      </c>
      <c r="I13" s="3" t="n">
        <v>75</v>
      </c>
      <c r="J13" s="7">
        <f>I13*E13</f>
        <v/>
      </c>
      <c r="K13" s="3" t="n">
        <v>80</v>
      </c>
      <c r="L13" s="3">
        <f>IF(I13&lt;=K13,"REORDER","OK")</f>
        <v/>
      </c>
    </row>
    <row r="14">
      <c r="B14" s="3" t="inlineStr">
        <is>
          <t>SKU010</t>
        </is>
      </c>
      <c r="C14" s="3" t="inlineStr">
        <is>
          <t>Throw Blanket</t>
        </is>
      </c>
      <c r="D14" s="9" t="inlineStr">
        <is>
          <t>Home</t>
        </is>
      </c>
      <c r="E14" s="5" t="n">
        <v>15</v>
      </c>
      <c r="F14" s="5" t="n">
        <v>44.99</v>
      </c>
      <c r="G14" s="5">
        <f>F14-E14</f>
        <v/>
      </c>
      <c r="H14" s="6">
        <f>G14/E14</f>
        <v/>
      </c>
      <c r="I14" s="3" t="n">
        <v>140</v>
      </c>
      <c r="J14" s="7">
        <f>I14*E14</f>
        <v/>
      </c>
      <c r="K14" s="3" t="n">
        <v>80</v>
      </c>
      <c r="L14" s="3">
        <f>IF(I14&lt;=K14,"REORDER","OK")</f>
        <v/>
      </c>
    </row>
    <row r="15">
      <c r="B15" s="3" t="inlineStr">
        <is>
          <t>SKU011</t>
        </is>
      </c>
      <c r="C15" s="3" t="inlineStr">
        <is>
          <t>LED Desk Lamp</t>
        </is>
      </c>
      <c r="D15" s="9" t="inlineStr">
        <is>
          <t>Home</t>
        </is>
      </c>
      <c r="E15" s="5" t="n">
        <v>18</v>
      </c>
      <c r="F15" s="5" t="n">
        <v>49.99</v>
      </c>
      <c r="G15" s="5">
        <f>F15-E15</f>
        <v/>
      </c>
      <c r="H15" s="6">
        <f>G15/E15</f>
        <v/>
      </c>
      <c r="I15" s="3" t="n">
        <v>165</v>
      </c>
      <c r="J15" s="7">
        <f>I15*E15</f>
        <v/>
      </c>
      <c r="K15" s="3" t="n">
        <v>80</v>
      </c>
      <c r="L15" s="3">
        <f>IF(I15&lt;=K15,"REORDER","OK")</f>
        <v/>
      </c>
    </row>
    <row r="16">
      <c r="B16" s="3" t="inlineStr">
        <is>
          <t>SKU012</t>
        </is>
      </c>
      <c r="C16" s="3" t="inlineStr">
        <is>
          <t>Wall Clock</t>
        </is>
      </c>
      <c r="D16" s="9" t="inlineStr">
        <is>
          <t>Home</t>
        </is>
      </c>
      <c r="E16" s="5" t="n">
        <v>8</v>
      </c>
      <c r="F16" s="5" t="n">
        <v>29.99</v>
      </c>
      <c r="G16" s="5">
        <f>F16-E16</f>
        <v/>
      </c>
      <c r="H16" s="6">
        <f>G16/E16</f>
        <v/>
      </c>
      <c r="I16" s="3" t="n">
        <v>95</v>
      </c>
      <c r="J16" s="7">
        <f>I16*E16</f>
        <v/>
      </c>
      <c r="K16" s="3" t="n">
        <v>80</v>
      </c>
      <c r="L16" s="3">
        <f>IF(I16&lt;=K16,"REORDER","OK")</f>
        <v/>
      </c>
    </row>
    <row r="17">
      <c r="B17" s="3" t="inlineStr">
        <is>
          <t>SKU013</t>
        </is>
      </c>
      <c r="C17" s="3" t="inlineStr">
        <is>
          <t>Yoga Mat</t>
        </is>
      </c>
      <c r="D17" s="10" t="inlineStr">
        <is>
          <t>Sports</t>
        </is>
      </c>
      <c r="E17" s="5" t="n">
        <v>12</v>
      </c>
      <c r="F17" s="5" t="n">
        <v>29.99</v>
      </c>
      <c r="G17" s="5">
        <f>F17-E17</f>
        <v/>
      </c>
      <c r="H17" s="6">
        <f>G17/E17</f>
        <v/>
      </c>
      <c r="I17" s="3" t="n">
        <v>220</v>
      </c>
      <c r="J17" s="7">
        <f>I17*E17</f>
        <v/>
      </c>
      <c r="K17" s="3" t="n">
        <v>60</v>
      </c>
      <c r="L17" s="3">
        <f>IF(I17&lt;=K17,"REORDER","OK")</f>
        <v/>
      </c>
    </row>
    <row r="18">
      <c r="B18" s="3" t="inlineStr">
        <is>
          <t>SKU014</t>
        </is>
      </c>
      <c r="C18" s="3" t="inlineStr">
        <is>
          <t>Dumbbell Set</t>
        </is>
      </c>
      <c r="D18" s="10" t="inlineStr">
        <is>
          <t>Sports</t>
        </is>
      </c>
      <c r="E18" s="5" t="n">
        <v>45</v>
      </c>
      <c r="F18" s="5" t="n">
        <v>99.98999999999999</v>
      </c>
      <c r="G18" s="5">
        <f>F18-E18</f>
        <v/>
      </c>
      <c r="H18" s="6">
        <f>G18/E18</f>
        <v/>
      </c>
      <c r="I18" s="3" t="n">
        <v>55</v>
      </c>
      <c r="J18" s="7">
        <f>I18*E18</f>
        <v/>
      </c>
      <c r="K18" s="3" t="n">
        <v>60</v>
      </c>
      <c r="L18" s="3">
        <f>IF(I18&lt;=K18,"REORDER","OK")</f>
        <v/>
      </c>
    </row>
    <row r="19">
      <c r="B19" s="3" t="inlineStr">
        <is>
          <t>SKU015</t>
        </is>
      </c>
      <c r="C19" s="3" t="inlineStr">
        <is>
          <t>Tennis Racket</t>
        </is>
      </c>
      <c r="D19" s="10" t="inlineStr">
        <is>
          <t>Sports</t>
        </is>
      </c>
      <c r="E19" s="5" t="n">
        <v>35</v>
      </c>
      <c r="F19" s="5" t="n">
        <v>79.98999999999999</v>
      </c>
      <c r="G19" s="5">
        <f>F19-E19</f>
        <v/>
      </c>
      <c r="H19" s="6">
        <f>G19/E19</f>
        <v/>
      </c>
      <c r="I19" s="3" t="n">
        <v>40</v>
      </c>
      <c r="J19" s="7">
        <f>I19*E19</f>
        <v/>
      </c>
      <c r="K19" s="3" t="n">
        <v>60</v>
      </c>
      <c r="L19" s="3">
        <f>IF(I19&lt;=K19,"REORDER","OK")</f>
        <v/>
      </c>
    </row>
    <row r="20">
      <c r="B20" s="3" t="inlineStr">
        <is>
          <t>SKU016</t>
        </is>
      </c>
      <c r="C20" s="3" t="inlineStr">
        <is>
          <t>Basketball</t>
        </is>
      </c>
      <c r="D20" s="10" t="inlineStr">
        <is>
          <t>Sports</t>
        </is>
      </c>
      <c r="E20" s="5" t="n">
        <v>15</v>
      </c>
      <c r="F20" s="5" t="n">
        <v>34.99</v>
      </c>
      <c r="G20" s="5">
        <f>F20-E20</f>
        <v/>
      </c>
      <c r="H20" s="6">
        <f>G20/E20</f>
        <v/>
      </c>
      <c r="I20" s="3" t="n">
        <v>85</v>
      </c>
      <c r="J20" s="7">
        <f>I20*E20</f>
        <v/>
      </c>
      <c r="K20" s="3" t="n">
        <v>60</v>
      </c>
      <c r="L20" s="3">
        <f>IF(I20&lt;=K20,"REORDER","OK")</f>
        <v/>
      </c>
    </row>
    <row r="21">
      <c r="B21" s="3" t="inlineStr">
        <is>
          <t>SKU017</t>
        </is>
      </c>
      <c r="C21" s="3" t="inlineStr">
        <is>
          <t>Face Serum</t>
        </is>
      </c>
      <c r="D21" s="11" t="inlineStr">
        <is>
          <t>Beauty</t>
        </is>
      </c>
      <c r="E21" s="5" t="n">
        <v>8</v>
      </c>
      <c r="F21" s="5" t="n">
        <v>39.99</v>
      </c>
      <c r="G21" s="5">
        <f>F21-E21</f>
        <v/>
      </c>
      <c r="H21" s="6">
        <f>G21/E21</f>
        <v/>
      </c>
      <c r="I21" s="3" t="n">
        <v>180</v>
      </c>
      <c r="J21" s="7">
        <f>I21*E21</f>
        <v/>
      </c>
      <c r="K21" s="3" t="n">
        <v>90</v>
      </c>
      <c r="L21" s="3">
        <f>IF(I21&lt;=K21,"REORDER","OK")</f>
        <v/>
      </c>
    </row>
    <row r="22">
      <c r="B22" s="3" t="inlineStr">
        <is>
          <t>SKU018</t>
        </is>
      </c>
      <c r="C22" s="3" t="inlineStr">
        <is>
          <t>Hair Dryer</t>
        </is>
      </c>
      <c r="D22" s="11" t="inlineStr">
        <is>
          <t>Beauty</t>
        </is>
      </c>
      <c r="E22" s="5" t="n">
        <v>25</v>
      </c>
      <c r="F22" s="5" t="n">
        <v>59.99</v>
      </c>
      <c r="G22" s="5">
        <f>F22-E22</f>
        <v/>
      </c>
      <c r="H22" s="6">
        <f>G22/E22</f>
        <v/>
      </c>
      <c r="I22" s="3" t="n">
        <v>110</v>
      </c>
      <c r="J22" s="7">
        <f>I22*E22</f>
        <v/>
      </c>
      <c r="K22" s="3" t="n">
        <v>90</v>
      </c>
      <c r="L22" s="3">
        <f>IF(I22&lt;=K22,"REORDER","OK")</f>
        <v/>
      </c>
    </row>
    <row r="23">
      <c r="B23" s="3" t="inlineStr">
        <is>
          <t>SKU019</t>
        </is>
      </c>
      <c r="C23" s="3" t="inlineStr">
        <is>
          <t>Makeup Palette</t>
        </is>
      </c>
      <c r="D23" s="11" t="inlineStr">
        <is>
          <t>Beauty</t>
        </is>
      </c>
      <c r="E23" s="5" t="n">
        <v>12</v>
      </c>
      <c r="F23" s="5" t="n">
        <v>44.99</v>
      </c>
      <c r="G23" s="5">
        <f>F23-E23</f>
        <v/>
      </c>
      <c r="H23" s="6">
        <f>G23/E23</f>
        <v/>
      </c>
      <c r="I23" s="3" t="n">
        <v>145</v>
      </c>
      <c r="J23" s="7">
        <f>I23*E23</f>
        <v/>
      </c>
      <c r="K23" s="3" t="n">
        <v>90</v>
      </c>
      <c r="L23" s="3">
        <f>IF(I23&lt;=K23,"REORDER","OK")</f>
        <v/>
      </c>
    </row>
    <row r="24">
      <c r="B24" s="3" t="inlineStr">
        <is>
          <t>SKU020</t>
        </is>
      </c>
      <c r="C24" s="3" t="inlineStr">
        <is>
          <t>Perfume Set</t>
        </is>
      </c>
      <c r="D24" s="11" t="inlineStr">
        <is>
          <t>Beauty</t>
        </is>
      </c>
      <c r="E24" s="5" t="n">
        <v>35</v>
      </c>
      <c r="F24" s="5" t="n">
        <v>89.98999999999999</v>
      </c>
      <c r="G24" s="5">
        <f>F24-E24</f>
        <v/>
      </c>
      <c r="H24" s="6">
        <f>G24/E24</f>
        <v/>
      </c>
      <c r="I24" s="3" t="n">
        <v>65</v>
      </c>
      <c r="J24" s="7">
        <f>I24*E24</f>
        <v/>
      </c>
      <c r="K24" s="3" t="n">
        <v>90</v>
      </c>
      <c r="L24" s="3">
        <f>IF(I24&lt;=K24,"REORDER","OK")</f>
        <v/>
      </c>
    </row>
    <row r="25">
      <c r="B25" s="12" t="inlineStr">
        <is>
          <t>TOTALS</t>
        </is>
      </c>
      <c r="I25" s="12">
        <f>SUM(I5:I24)</f>
        <v/>
      </c>
      <c r="J25" s="13">
        <f>SUM(J5:J24)</f>
        <v/>
      </c>
    </row>
    <row r="28">
      <c r="B28" s="14" t="inlineStr">
        <is>
          <t>CATEGORY SUMMARY</t>
        </is>
      </c>
    </row>
    <row r="29">
      <c r="B29" s="15" t="inlineStr">
        <is>
          <t>Category</t>
        </is>
      </c>
      <c r="C29" s="15" t="inlineStr">
        <is>
          <t>Products</t>
        </is>
      </c>
      <c r="D29" s="15" t="inlineStr">
        <is>
          <t>Total Stock</t>
        </is>
      </c>
      <c r="E29" s="15" t="inlineStr">
        <is>
          <t>Total Value</t>
        </is>
      </c>
    </row>
    <row r="30">
      <c r="B30" s="4" t="inlineStr">
        <is>
          <t>Electronics</t>
        </is>
      </c>
      <c r="C30" s="3">
        <f>COUNTIF($D$5:$D$24,B30)</f>
        <v/>
      </c>
      <c r="D30" s="3">
        <f>SUMIF($D$5:$D$24,B30,$I$5:$I$24)</f>
        <v/>
      </c>
      <c r="E30" s="7">
        <f>SUMIF($D$5:$D$24,B30,$J$5:$J$24)</f>
        <v/>
      </c>
    </row>
    <row r="31">
      <c r="B31" s="8" t="inlineStr">
        <is>
          <t>Apparel</t>
        </is>
      </c>
      <c r="C31" s="3">
        <f>COUNTIF($D$5:$D$24,B31)</f>
        <v/>
      </c>
      <c r="D31" s="3">
        <f>SUMIF($D$5:$D$24,B31,$I$5:$I$24)</f>
        <v/>
      </c>
      <c r="E31" s="7">
        <f>SUMIF($D$5:$D$24,B31,$J$5:$J$24)</f>
        <v/>
      </c>
    </row>
    <row r="32">
      <c r="B32" s="9" t="inlineStr">
        <is>
          <t>Home</t>
        </is>
      </c>
      <c r="C32" s="3">
        <f>COUNTIF($D$5:$D$24,B32)</f>
        <v/>
      </c>
      <c r="D32" s="3">
        <f>SUMIF($D$5:$D$24,B32,$I$5:$I$24)</f>
        <v/>
      </c>
      <c r="E32" s="7">
        <f>SUMIF($D$5:$D$24,B32,$J$5:$J$24)</f>
        <v/>
      </c>
    </row>
    <row r="33">
      <c r="B33" s="10" t="inlineStr">
        <is>
          <t>Sports</t>
        </is>
      </c>
      <c r="C33" s="3">
        <f>COUNTIF($D$5:$D$24,B33)</f>
        <v/>
      </c>
      <c r="D33" s="3">
        <f>SUMIF($D$5:$D$24,B33,$I$5:$I$24)</f>
        <v/>
      </c>
      <c r="E33" s="7">
        <f>SUMIF($D$5:$D$24,B33,$J$5:$J$24)</f>
        <v/>
      </c>
    </row>
    <row r="34">
      <c r="B34" s="11" t="inlineStr">
        <is>
          <t>Beauty</t>
        </is>
      </c>
      <c r="C34" s="3">
        <f>COUNTIF($D$5:$D$24,B34)</f>
        <v/>
      </c>
      <c r="D34" s="3">
        <f>SUMIF($D$5:$D$24,B34,$I$5:$I$24)</f>
        <v/>
      </c>
      <c r="E34" s="7">
        <f>SUMIF($D$5:$D$24,B34,$J$5:$J$24)</f>
        <v/>
      </c>
    </row>
  </sheetData>
  <autoFilter ref="B4:L24"/>
  <mergeCells count="2">
    <mergeCell ref="B2:L2"/>
    <mergeCell ref="B28:E28"/>
  </mergeCells>
  <conditionalFormatting sqref="L5:L24">
    <cfRule type="expression" priority="1" dxfId="0">
      <formula>$L5="REORDER"</formula>
    </cfRule>
    <cfRule type="expression" priority="2" dxfId="1">
      <formula>$L5="OK"</formula>
    </cfRule>
  </conditionalFormatting>
  <conditionalFormatting sqref="H5:H24">
    <cfRule type="colorScale" priority="3">
      <colorScale>
        <cfvo type="percentile" val="10"/>
        <cfvo type="percentile" val="50"/>
        <cfvo type="percentile" val="90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B2:I28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2">
      <c r="B2" s="16" t="inlineStr">
        <is>
          <t>REGIONAL SALES ANALYSIS</t>
        </is>
      </c>
    </row>
    <row r="4">
      <c r="B4" s="14" t="inlineStr">
        <is>
          <t>CURRENT YEAR SALES (2024)</t>
        </is>
      </c>
    </row>
    <row r="5">
      <c r="B5" s="17" t="inlineStr">
        <is>
          <t>Region</t>
        </is>
      </c>
      <c r="C5" s="17" t="inlineStr">
        <is>
          <t>Q1</t>
        </is>
      </c>
      <c r="D5" s="17" t="inlineStr">
        <is>
          <t>Q2</t>
        </is>
      </c>
      <c r="E5" s="17" t="inlineStr">
        <is>
          <t>Q3</t>
        </is>
      </c>
      <c r="F5" s="17" t="inlineStr">
        <is>
          <t>Q4</t>
        </is>
      </c>
      <c r="G5" s="17" t="inlineStr">
        <is>
          <t>Annual Total</t>
        </is>
      </c>
      <c r="H5" s="17" t="inlineStr">
        <is>
          <t>Prev Year</t>
        </is>
      </c>
      <c r="I5" s="17" t="inlineStr">
        <is>
          <t>YoY Growth</t>
        </is>
      </c>
    </row>
    <row r="6">
      <c r="B6" s="3" t="inlineStr">
        <is>
          <t>North America</t>
        </is>
      </c>
      <c r="C6" s="7" t="n">
        <v>425000</v>
      </c>
      <c r="D6" s="7" t="n">
        <v>485000</v>
      </c>
      <c r="E6" s="7" t="n">
        <v>510000</v>
      </c>
      <c r="F6" s="7" t="n">
        <v>620000</v>
      </c>
      <c r="G6" s="18">
        <f>SUM(C6:F6)</f>
        <v/>
      </c>
      <c r="H6" s="7" t="n">
        <v>1850000</v>
      </c>
      <c r="I6" s="19">
        <f>(G6-H6)/H6</f>
        <v/>
      </c>
    </row>
    <row r="7">
      <c r="B7" s="3" t="inlineStr">
        <is>
          <t>Europe</t>
        </is>
      </c>
      <c r="C7" s="7" t="n">
        <v>320000</v>
      </c>
      <c r="D7" s="7" t="n">
        <v>355000</v>
      </c>
      <c r="E7" s="7" t="n">
        <v>380000</v>
      </c>
      <c r="F7" s="7" t="n">
        <v>445000</v>
      </c>
      <c r="G7" s="18">
        <f>SUM(C7:F7)</f>
        <v/>
      </c>
      <c r="H7" s="7" t="n">
        <v>1380000</v>
      </c>
      <c r="I7" s="19">
        <f>(G7-H7)/H7</f>
        <v/>
      </c>
    </row>
    <row r="8">
      <c r="B8" s="3" t="inlineStr">
        <is>
          <t>Asia Pacific</t>
        </is>
      </c>
      <c r="C8" s="7" t="n">
        <v>280000</v>
      </c>
      <c r="D8" s="7" t="n">
        <v>315000</v>
      </c>
      <c r="E8" s="7" t="n">
        <v>365000</v>
      </c>
      <c r="F8" s="7" t="n">
        <v>420000</v>
      </c>
      <c r="G8" s="18">
        <f>SUM(C8:F8)</f>
        <v/>
      </c>
      <c r="H8" s="7" t="n">
        <v>1250000</v>
      </c>
      <c r="I8" s="19">
        <f>(G8-H8)/H8</f>
        <v/>
      </c>
    </row>
    <row r="9">
      <c r="B9" s="3" t="inlineStr">
        <is>
          <t>Latin America</t>
        </is>
      </c>
      <c r="C9" s="7" t="n">
        <v>145000</v>
      </c>
      <c r="D9" s="7" t="n">
        <v>165000</v>
      </c>
      <c r="E9" s="7" t="n">
        <v>185000</v>
      </c>
      <c r="F9" s="7" t="n">
        <v>215000</v>
      </c>
      <c r="G9" s="18">
        <f>SUM(C9:F9)</f>
        <v/>
      </c>
      <c r="H9" s="7" t="n">
        <v>620000</v>
      </c>
      <c r="I9" s="19">
        <f>(G9-H9)/H9</f>
        <v/>
      </c>
    </row>
    <row r="10">
      <c r="B10" s="3" t="inlineStr">
        <is>
          <t>Middle East</t>
        </is>
      </c>
      <c r="C10" s="7" t="n">
        <v>95000</v>
      </c>
      <c r="D10" s="7" t="n">
        <v>110000</v>
      </c>
      <c r="E10" s="7" t="n">
        <v>125000</v>
      </c>
      <c r="F10" s="7" t="n">
        <v>155000</v>
      </c>
      <c r="G10" s="18">
        <f>SUM(C10:F10)</f>
        <v/>
      </c>
      <c r="H10" s="7" t="n">
        <v>450000</v>
      </c>
      <c r="I10" s="19">
        <f>(G10-H10)/H10</f>
        <v/>
      </c>
    </row>
    <row r="11">
      <c r="B11" s="3" t="inlineStr">
        <is>
          <t>Africa</t>
        </is>
      </c>
      <c r="C11" s="7" t="n">
        <v>65000</v>
      </c>
      <c r="D11" s="7" t="n">
        <v>75000</v>
      </c>
      <c r="E11" s="7" t="n">
        <v>88000</v>
      </c>
      <c r="F11" s="7" t="n">
        <v>105000</v>
      </c>
      <c r="G11" s="18">
        <f>SUM(C11:F11)</f>
        <v/>
      </c>
      <c r="H11" s="7" t="n">
        <v>295000</v>
      </c>
      <c r="I11" s="19">
        <f>(G11-H11)/H11</f>
        <v/>
      </c>
    </row>
    <row r="12">
      <c r="B12" s="20" t="inlineStr">
        <is>
          <t>TOTAL</t>
        </is>
      </c>
      <c r="C12" s="21">
        <f>SUM(C6:C11)</f>
        <v/>
      </c>
      <c r="D12" s="21">
        <f>SUM(D6:D11)</f>
        <v/>
      </c>
      <c r="E12" s="21">
        <f>SUM(E6:E11)</f>
        <v/>
      </c>
      <c r="F12" s="21">
        <f>SUM(F6:F11)</f>
        <v/>
      </c>
      <c r="G12" s="21">
        <f>SUM(G6:G11)</f>
        <v/>
      </c>
      <c r="H12" s="21">
        <f>SUM(H6:H11)</f>
        <v/>
      </c>
      <c r="I12" s="22">
        <f>(G12-H12)/H12</f>
        <v/>
      </c>
    </row>
    <row r="15">
      <c r="B15" s="14" t="inlineStr">
        <is>
          <t>SALES STATISTICS</t>
        </is>
      </c>
    </row>
    <row r="16">
      <c r="B16" s="3" t="inlineStr">
        <is>
          <t>Average Regional Sales</t>
        </is>
      </c>
      <c r="C16" s="18">
        <f>AVERAGE(G6:G11)</f>
        <v/>
      </c>
    </row>
    <row r="17">
      <c r="B17" s="3" t="inlineStr">
        <is>
          <t>Maximum Regional Sales</t>
        </is>
      </c>
      <c r="C17" s="18">
        <f>MAX(G6:G11)</f>
        <v/>
      </c>
    </row>
    <row r="18">
      <c r="B18" s="3" t="inlineStr">
        <is>
          <t>Minimum Regional Sales</t>
        </is>
      </c>
      <c r="C18" s="18">
        <f>MIN(G6:G11)</f>
        <v/>
      </c>
    </row>
    <row r="19">
      <c r="B19" s="3" t="inlineStr">
        <is>
          <t>Average Growth Rate</t>
        </is>
      </c>
      <c r="C19" s="23">
        <f>AVERAGE(I6:I11)</f>
        <v/>
      </c>
    </row>
    <row r="20">
      <c r="B20" s="3" t="inlineStr">
        <is>
          <t>Total Global Sales</t>
        </is>
      </c>
      <c r="C20" s="18">
        <f>G12</f>
        <v/>
      </c>
    </row>
    <row r="23">
      <c r="B23" s="14" t="inlineStr">
        <is>
          <t>QUARTERLY TREND ANALYSIS</t>
        </is>
      </c>
    </row>
    <row r="24">
      <c r="B24" s="12" t="inlineStr">
        <is>
          <t>Quarter</t>
        </is>
      </c>
      <c r="C24" s="12" t="inlineStr">
        <is>
          <t>Total Sales</t>
        </is>
      </c>
      <c r="D24" s="12" t="inlineStr">
        <is>
          <t>QoQ Change</t>
        </is>
      </c>
      <c r="E24" s="12" t="inlineStr">
        <is>
          <t>QoQ Growth</t>
        </is>
      </c>
    </row>
    <row r="25">
      <c r="B25" s="3" t="inlineStr">
        <is>
          <t>Q1</t>
        </is>
      </c>
      <c r="C25" s="7">
        <f>SUM(C6:C11)</f>
        <v/>
      </c>
      <c r="D25" s="3" t="inlineStr">
        <is>
          <t>-</t>
        </is>
      </c>
      <c r="E25" s="3" t="inlineStr">
        <is>
          <t>-</t>
        </is>
      </c>
    </row>
    <row r="26">
      <c r="B26" s="3" t="inlineStr">
        <is>
          <t>Q2</t>
        </is>
      </c>
      <c r="C26" s="7">
        <f>SUM(D6:D11)</f>
        <v/>
      </c>
      <c r="D26" s="24">
        <f>C26-C25</f>
        <v/>
      </c>
      <c r="E26" s="6">
        <f>D26/C25</f>
        <v/>
      </c>
    </row>
    <row r="27">
      <c r="B27" s="3" t="inlineStr">
        <is>
          <t>Q3</t>
        </is>
      </c>
      <c r="C27" s="7">
        <f>SUM(E6:E11)</f>
        <v/>
      </c>
      <c r="D27" s="24">
        <f>C27-C26</f>
        <v/>
      </c>
      <c r="E27" s="6">
        <f>D27/C26</f>
        <v/>
      </c>
    </row>
    <row r="28">
      <c r="B28" s="3" t="inlineStr">
        <is>
          <t>Q4</t>
        </is>
      </c>
      <c r="C28" s="7">
        <f>SUM(F6:F11)</f>
        <v/>
      </c>
      <c r="D28" s="24">
        <f>C28-C27</f>
        <v/>
      </c>
      <c r="E28" s="6">
        <f>D28/C27</f>
        <v/>
      </c>
    </row>
  </sheetData>
  <mergeCells count="4">
    <mergeCell ref="B15:E15"/>
    <mergeCell ref="B2:I2"/>
    <mergeCell ref="B4:I4"/>
    <mergeCell ref="B23:F23"/>
  </mergeCells>
  <conditionalFormatting sqref="C6:C11">
    <cfRule type="dataBar" priority="1">
      <dataBar showValue="1">
        <cfvo type="min"/>
        <cfvo type="max"/>
        <color rgb="002E7D32"/>
      </dataBar>
    </cfRule>
  </conditionalFormatting>
  <conditionalFormatting sqref="D6:D11">
    <cfRule type="dataBar" priority="2">
      <dataBar showValue="1">
        <cfvo type="min"/>
        <cfvo type="max"/>
        <color rgb="002E7D32"/>
      </dataBar>
    </cfRule>
  </conditionalFormatting>
  <conditionalFormatting sqref="E6:E11">
    <cfRule type="dataBar" priority="3">
      <dataBar showValue="1">
        <cfvo type="min"/>
        <cfvo type="max"/>
        <color rgb="002E7D32"/>
      </dataBar>
    </cfRule>
  </conditionalFormatting>
  <conditionalFormatting sqref="F6:F11">
    <cfRule type="dataBar" priority="4">
      <dataBar showValue="1">
        <cfvo type="min"/>
        <cfvo type="max"/>
        <color rgb="002E7D32"/>
      </dataBar>
    </cfRule>
  </conditionalFormatting>
  <conditionalFormatting sqref="I6:I12">
    <cfRule type="cellIs" priority="5" operator="greaterThan" dxfId="1">
      <formula>0</formula>
    </cfRule>
    <cfRule type="cellIs" priority="6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F00"/>
    <outlinePr summaryBelow="1" summaryRight="1"/>
    <pageSetUpPr/>
  </sheetPr>
  <dimension ref="B2:J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2">
      <c r="B2" s="25" t="inlineStr">
        <is>
          <t>INVENTORY MANAGEMENT SYSTEM</t>
        </is>
      </c>
    </row>
    <row r="4">
      <c r="B4" s="26" t="inlineStr">
        <is>
          <t>SKU</t>
        </is>
      </c>
      <c r="C4" s="26" t="inlineStr">
        <is>
          <t>Product</t>
        </is>
      </c>
      <c r="D4" s="26" t="inlineStr">
        <is>
          <t>Current Stock</t>
        </is>
      </c>
      <c r="E4" s="26" t="inlineStr">
        <is>
          <t>Avg Daily Sales</t>
        </is>
      </c>
      <c r="F4" s="26" t="inlineStr">
        <is>
          <t>Days of Stock</t>
        </is>
      </c>
      <c r="G4" s="26" t="inlineStr">
        <is>
          <t>Reorder Point</t>
        </is>
      </c>
      <c r="H4" s="26" t="inlineStr">
        <is>
          <t>Order Qty</t>
        </is>
      </c>
      <c r="I4" s="26" t="inlineStr">
        <is>
          <t>Last Restocked</t>
        </is>
      </c>
      <c r="J4" s="26" t="inlineStr">
        <is>
          <t>Days Since</t>
        </is>
      </c>
    </row>
    <row r="5">
      <c r="B5" s="3" t="inlineStr">
        <is>
          <t>SKU001</t>
        </is>
      </c>
      <c r="C5" s="3" t="inlineStr">
        <is>
          <t>Wireless Headphones</t>
        </is>
      </c>
      <c r="D5" s="3" t="n">
        <v>85</v>
      </c>
      <c r="E5" s="27" t="n">
        <v>3.2</v>
      </c>
      <c r="F5" s="28">
        <f>D5/E5</f>
        <v/>
      </c>
      <c r="G5" s="3" t="n">
        <v>50</v>
      </c>
      <c r="H5" s="28">
        <f>MAX(0,G5-D5+G5/2)</f>
        <v/>
      </c>
      <c r="I5" s="3" t="inlineStr">
        <is>
          <t>2024-05-15</t>
        </is>
      </c>
      <c r="J5" s="29">
        <f>TODAY()-DATEVALUE(I5)</f>
        <v/>
      </c>
    </row>
    <row r="6">
      <c r="B6" s="3" t="inlineStr">
        <is>
          <t>SKU002</t>
        </is>
      </c>
      <c r="C6" s="3" t="inlineStr">
        <is>
          <t>Bluetooth Speaker</t>
        </is>
      </c>
      <c r="D6" s="3" t="n">
        <v>120</v>
      </c>
      <c r="E6" s="27" t="n">
        <v>4.5</v>
      </c>
      <c r="F6" s="28">
        <f>D6/E6</f>
        <v/>
      </c>
      <c r="G6" s="3" t="n">
        <v>60</v>
      </c>
      <c r="H6" s="28">
        <f>MAX(0,G6-D6+G6/2)</f>
        <v/>
      </c>
      <c r="I6" s="3" t="inlineStr">
        <is>
          <t>2024-05-20</t>
        </is>
      </c>
      <c r="J6" s="29">
        <f>TODAY()-DATEVALUE(I6)</f>
        <v/>
      </c>
    </row>
    <row r="7">
      <c r="B7" s="3" t="inlineStr">
        <is>
          <t>SKU003</t>
        </is>
      </c>
      <c r="C7" s="3" t="inlineStr">
        <is>
          <t>USB-C Hub</t>
        </is>
      </c>
      <c r="D7" s="3" t="n">
        <v>200</v>
      </c>
      <c r="E7" s="27" t="n">
        <v>8</v>
      </c>
      <c r="F7" s="28">
        <f>D7/E7</f>
        <v/>
      </c>
      <c r="G7" s="3" t="n">
        <v>80</v>
      </c>
      <c r="H7" s="28">
        <f>MAX(0,G7-D7+G7/2)</f>
        <v/>
      </c>
      <c r="I7" s="3" t="inlineStr">
        <is>
          <t>2024-05-25</t>
        </is>
      </c>
      <c r="J7" s="29">
        <f>TODAY()-DATEVALUE(I7)</f>
        <v/>
      </c>
    </row>
    <row r="8">
      <c r="B8" s="3" t="inlineStr">
        <is>
          <t>SKU004</t>
        </is>
      </c>
      <c r="C8" s="3" t="inlineStr">
        <is>
          <t>Smart Watch</t>
        </is>
      </c>
      <c r="D8" s="3" t="n">
        <v>45</v>
      </c>
      <c r="E8" s="27" t="n">
        <v>1.8</v>
      </c>
      <c r="F8" s="28">
        <f>D8/E8</f>
        <v/>
      </c>
      <c r="G8" s="3" t="n">
        <v>40</v>
      </c>
      <c r="H8" s="28">
        <f>MAX(0,G8-D8+G8/2)</f>
        <v/>
      </c>
      <c r="I8" s="3" t="inlineStr">
        <is>
          <t>2024-05-10</t>
        </is>
      </c>
      <c r="J8" s="29">
        <f>TODAY()-DATEVALUE(I8)</f>
        <v/>
      </c>
    </row>
    <row r="9">
      <c r="B9" s="3" t="inlineStr">
        <is>
          <t>SKU005</t>
        </is>
      </c>
      <c r="C9" s="3" t="inlineStr">
        <is>
          <t>Cotton T-Shirt</t>
        </is>
      </c>
      <c r="D9" s="3" t="n">
        <v>350</v>
      </c>
      <c r="E9" s="27" t="n">
        <v>12.5</v>
      </c>
      <c r="F9" s="28">
        <f>D9/E9</f>
        <v/>
      </c>
      <c r="G9" s="3" t="n">
        <v>150</v>
      </c>
      <c r="H9" s="28">
        <f>MAX(0,G9-D9+G9/2)</f>
        <v/>
      </c>
      <c r="I9" s="3" t="inlineStr">
        <is>
          <t>2024-05-28</t>
        </is>
      </c>
      <c r="J9" s="29">
        <f>TODAY()-DATEVALUE(I9)</f>
        <v/>
      </c>
    </row>
    <row r="10">
      <c r="B10" s="3" t="inlineStr">
        <is>
          <t>SKU006</t>
        </is>
      </c>
      <c r="C10" s="3" t="inlineStr">
        <is>
          <t>Denim Jeans</t>
        </is>
      </c>
      <c r="D10" s="3" t="n">
        <v>180</v>
      </c>
      <c r="E10" s="27" t="n">
        <v>5.5</v>
      </c>
      <c r="F10" s="28">
        <f>D10/E10</f>
        <v/>
      </c>
      <c r="G10" s="3" t="n">
        <v>100</v>
      </c>
      <c r="H10" s="28">
        <f>MAX(0,G10-D10+G10/2)</f>
        <v/>
      </c>
      <c r="I10" s="3" t="inlineStr">
        <is>
          <t>2024-05-22</t>
        </is>
      </c>
      <c r="J10" s="29">
        <f>TODAY()-DATEVALUE(I10)</f>
        <v/>
      </c>
    </row>
    <row r="11">
      <c r="B11" s="3" t="inlineStr">
        <is>
          <t>SKU007</t>
        </is>
      </c>
      <c r="C11" s="3" t="inlineStr">
        <is>
          <t>Running Shoes</t>
        </is>
      </c>
      <c r="D11" s="3" t="n">
        <v>95</v>
      </c>
      <c r="E11" s="27" t="n">
        <v>3</v>
      </c>
      <c r="F11" s="28">
        <f>D11/E11</f>
        <v/>
      </c>
      <c r="G11" s="3" t="n">
        <v>60</v>
      </c>
      <c r="H11" s="28">
        <f>MAX(0,G11-D11+G11/2)</f>
        <v/>
      </c>
      <c r="I11" s="3" t="inlineStr">
        <is>
          <t>2024-05-18</t>
        </is>
      </c>
      <c r="J11" s="29">
        <f>TODAY()-DATEVALUE(I11)</f>
        <v/>
      </c>
    </row>
    <row r="12">
      <c r="B12" s="3" t="inlineStr">
        <is>
          <t>SKU008</t>
        </is>
      </c>
      <c r="C12" s="3" t="inlineStr">
        <is>
          <t>Winter Jacket</t>
        </is>
      </c>
      <c r="D12" s="3" t="n">
        <v>60</v>
      </c>
      <c r="E12" s="27" t="n">
        <v>1.2</v>
      </c>
      <c r="F12" s="28">
        <f>D12/E12</f>
        <v/>
      </c>
      <c r="G12" s="3" t="n">
        <v>40</v>
      </c>
      <c r="H12" s="28">
        <f>MAX(0,G12-D12+G12/2)</f>
        <v/>
      </c>
      <c r="I12" s="3" t="inlineStr">
        <is>
          <t>2024-04-30</t>
        </is>
      </c>
      <c r="J12" s="29">
        <f>TODAY()-DATEVALUE(I12)</f>
        <v/>
      </c>
    </row>
    <row r="13">
      <c r="B13" s="3" t="inlineStr">
        <is>
          <t>SKU009</t>
        </is>
      </c>
      <c r="C13" s="3" t="inlineStr">
        <is>
          <t>Ceramic Vase</t>
        </is>
      </c>
      <c r="D13" s="3" t="n">
        <v>75</v>
      </c>
      <c r="E13" s="27" t="n">
        <v>2</v>
      </c>
      <c r="F13" s="28">
        <f>D13/E13</f>
        <v/>
      </c>
      <c r="G13" s="3" t="n">
        <v>50</v>
      </c>
      <c r="H13" s="28">
        <f>MAX(0,G13-D13+G13/2)</f>
        <v/>
      </c>
      <c r="I13" s="3" t="inlineStr">
        <is>
          <t>2024-05-12</t>
        </is>
      </c>
      <c r="J13" s="29">
        <f>TODAY()-DATEVALUE(I13)</f>
        <v/>
      </c>
    </row>
    <row r="14">
      <c r="B14" s="3" t="inlineStr">
        <is>
          <t>SKU010</t>
        </is>
      </c>
      <c r="C14" s="3" t="inlineStr">
        <is>
          <t>Throw Blanket</t>
        </is>
      </c>
      <c r="D14" s="3" t="n">
        <v>140</v>
      </c>
      <c r="E14" s="27" t="n">
        <v>4</v>
      </c>
      <c r="F14" s="28">
        <f>D14/E14</f>
        <v/>
      </c>
      <c r="G14" s="3" t="n">
        <v>80</v>
      </c>
      <c r="H14" s="28">
        <f>MAX(0,G14-D14+G14/2)</f>
        <v/>
      </c>
      <c r="I14" s="3" t="inlineStr">
        <is>
          <t>2024-05-26</t>
        </is>
      </c>
      <c r="J14" s="29">
        <f>TODAY()-DATEVALUE(I14)</f>
        <v/>
      </c>
    </row>
    <row r="15">
      <c r="B15" s="3" t="inlineStr">
        <is>
          <t>SKU011</t>
        </is>
      </c>
      <c r="C15" s="3" t="inlineStr">
        <is>
          <t>LED Desk Lamp</t>
        </is>
      </c>
      <c r="D15" s="3" t="n">
        <v>165</v>
      </c>
      <c r="E15" s="27" t="n">
        <v>5</v>
      </c>
      <c r="F15" s="28">
        <f>D15/E15</f>
        <v/>
      </c>
      <c r="G15" s="3" t="n">
        <v>100</v>
      </c>
      <c r="H15" s="28">
        <f>MAX(0,G15-D15+G15/2)</f>
        <v/>
      </c>
      <c r="I15" s="3" t="inlineStr">
        <is>
          <t>2024-05-30</t>
        </is>
      </c>
      <c r="J15" s="29">
        <f>TODAY()-DATEVALUE(I15)</f>
        <v/>
      </c>
    </row>
    <row r="16">
      <c r="B16" s="3" t="inlineStr">
        <is>
          <t>SKU012</t>
        </is>
      </c>
      <c r="C16" s="3" t="inlineStr">
        <is>
          <t>Wall Clock</t>
        </is>
      </c>
      <c r="D16" s="3" t="n">
        <v>95</v>
      </c>
      <c r="E16" s="27" t="n">
        <v>2.5</v>
      </c>
      <c r="F16" s="28">
        <f>D16/E16</f>
        <v/>
      </c>
      <c r="G16" s="3" t="n">
        <v>60</v>
      </c>
      <c r="H16" s="28">
        <f>MAX(0,G16-D16+G16/2)</f>
        <v/>
      </c>
      <c r="I16" s="3" t="inlineStr">
        <is>
          <t>2024-05-08</t>
        </is>
      </c>
      <c r="J16" s="29">
        <f>TODAY()-DATEVALUE(I16)</f>
        <v/>
      </c>
    </row>
    <row r="17">
      <c r="B17" s="3" t="inlineStr">
        <is>
          <t>SKU013</t>
        </is>
      </c>
      <c r="C17" s="3" t="inlineStr">
        <is>
          <t>Yoga Mat</t>
        </is>
      </c>
      <c r="D17" s="3" t="n">
        <v>220</v>
      </c>
      <c r="E17" s="27" t="n">
        <v>7.5</v>
      </c>
      <c r="F17" s="28">
        <f>D17/E17</f>
        <v/>
      </c>
      <c r="G17" s="3" t="n">
        <v>120</v>
      </c>
      <c r="H17" s="28">
        <f>MAX(0,G17-D17+G17/2)</f>
        <v/>
      </c>
      <c r="I17" s="3" t="inlineStr">
        <is>
          <t>2024-05-29</t>
        </is>
      </c>
      <c r="J17" s="29">
        <f>TODAY()-DATEVALUE(I17)</f>
        <v/>
      </c>
    </row>
    <row r="18">
      <c r="B18" s="3" t="inlineStr">
        <is>
          <t>SKU014</t>
        </is>
      </c>
      <c r="C18" s="3" t="inlineStr">
        <is>
          <t>Dumbbell Set</t>
        </is>
      </c>
      <c r="D18" s="3" t="n">
        <v>55</v>
      </c>
      <c r="E18" s="27" t="n">
        <v>1.5</v>
      </c>
      <c r="F18" s="28">
        <f>D18/E18</f>
        <v/>
      </c>
      <c r="G18" s="3" t="n">
        <v>40</v>
      </c>
      <c r="H18" s="28">
        <f>MAX(0,G18-D18+G18/2)</f>
        <v/>
      </c>
      <c r="I18" s="3" t="inlineStr">
        <is>
          <t>2024-05-05</t>
        </is>
      </c>
      <c r="J18" s="29">
        <f>TODAY()-DATEVALUE(I18)</f>
        <v/>
      </c>
    </row>
    <row r="19">
      <c r="B19" s="3" t="inlineStr">
        <is>
          <t>SKU015</t>
        </is>
      </c>
      <c r="C19" s="3" t="inlineStr">
        <is>
          <t>Tennis Racket</t>
        </is>
      </c>
      <c r="D19" s="3" t="n">
        <v>40</v>
      </c>
      <c r="E19" s="27" t="n">
        <v>1</v>
      </c>
      <c r="F19" s="28">
        <f>D19/E19</f>
        <v/>
      </c>
      <c r="G19" s="3" t="n">
        <v>30</v>
      </c>
      <c r="H19" s="28">
        <f>MAX(0,G19-D19+G19/2)</f>
        <v/>
      </c>
      <c r="I19" s="3" t="inlineStr">
        <is>
          <t>2024-04-28</t>
        </is>
      </c>
      <c r="J19" s="29">
        <f>TODAY()-DATEVALUE(I19)</f>
        <v/>
      </c>
    </row>
    <row r="22">
      <c r="B22" s="14" t="inlineStr">
        <is>
          <t>INVENTORY HEALTH SUMMARY</t>
        </is>
      </c>
    </row>
    <row r="23">
      <c r="B23" s="3" t="inlineStr">
        <is>
          <t>Total SKUs</t>
        </is>
      </c>
      <c r="C23" s="30">
        <f>COUNTA(B5:B19)</f>
        <v/>
      </c>
    </row>
    <row r="24">
      <c r="B24" s="3" t="inlineStr">
        <is>
          <t>Critical Stock (&lt;14 days)</t>
        </is>
      </c>
      <c r="C24" s="30">
        <f>COUNTIF(F5:F19,"&lt;14")</f>
        <v/>
      </c>
    </row>
    <row r="25">
      <c r="B25" s="3" t="inlineStr">
        <is>
          <t>Warning Stock (14-30 days)</t>
        </is>
      </c>
      <c r="C25" s="30">
        <f>SUMPRODUCT((F5:F19&gt;=14)*(F5:F19&lt;=30))</f>
        <v/>
      </c>
    </row>
    <row r="26">
      <c r="B26" s="3" t="inlineStr">
        <is>
          <t>Healthy Stock (&gt;30 days)</t>
        </is>
      </c>
      <c r="C26" s="30">
        <f>COUNTIF(F5:F19,"&gt;30")</f>
        <v/>
      </c>
    </row>
    <row r="27">
      <c r="B27" s="3" t="inlineStr">
        <is>
          <t>Average Days of Stock</t>
        </is>
      </c>
      <c r="C27" s="30">
        <f>AVERAGE(F5:F19)</f>
        <v/>
      </c>
    </row>
    <row r="28">
      <c r="B28" s="3" t="inlineStr">
        <is>
          <t>Total Units on Order</t>
        </is>
      </c>
      <c r="C28" s="30">
        <f>SUM(H5:H19)</f>
        <v/>
      </c>
    </row>
  </sheetData>
  <mergeCells count="2">
    <mergeCell ref="B22:E22"/>
    <mergeCell ref="B2:J2"/>
  </mergeCells>
  <conditionalFormatting sqref="F5:F19">
    <cfRule type="cellIs" priority="1" operator="lessThan" dxfId="2">
      <formula>14</formula>
    </cfRule>
    <cfRule type="cellIs" priority="2" operator="between" dxfId="3">
      <formula>14</formula>
      <formula>30</formula>
    </cfRule>
    <cfRule type="cellIs" priority="3" operator="greaterThan" dxfId="1">
      <formula>30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B2:N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2" max="12"/>
    <col width="10" customWidth="1" min="13" max="13"/>
    <col width="12" customWidth="1" min="14" max="14"/>
  </cols>
  <sheetData>
    <row r="2">
      <c r="B2" s="31" t="inlineStr">
        <is>
          <t>CUSTOMER RFM SEGMENTATION</t>
        </is>
      </c>
    </row>
    <row r="3">
      <c r="B3" s="32" t="inlineStr">
        <is>
          <t>Recency, Frequency, Monetary Analysis</t>
        </is>
      </c>
    </row>
    <row r="5">
      <c r="B5" s="2" t="inlineStr">
        <is>
          <t>Customer ID</t>
        </is>
      </c>
      <c r="C5" s="2" t="inlineStr">
        <is>
          <t>Last Purchase</t>
        </is>
      </c>
      <c r="D5" s="2" t="inlineStr">
        <is>
          <t>Purchases (12mo)</t>
        </is>
      </c>
      <c r="E5" s="2" t="inlineStr">
        <is>
          <t>Total Spent</t>
        </is>
      </c>
      <c r="F5" s="2" t="inlineStr">
        <is>
          <t>R Score</t>
        </is>
      </c>
      <c r="G5" s="2" t="inlineStr">
        <is>
          <t>F Score</t>
        </is>
      </c>
      <c r="H5" s="2" t="inlineStr">
        <is>
          <t>M Score</t>
        </is>
      </c>
      <c r="I5" s="2" t="inlineStr">
        <is>
          <t>RFM Score</t>
        </is>
      </c>
      <c r="J5" s="2" t="inlineStr">
        <is>
          <t>Segment</t>
        </is>
      </c>
      <c r="L5" s="14" t="inlineStr">
        <is>
          <t>SEGMENT SUMMARY</t>
        </is>
      </c>
    </row>
    <row r="6">
      <c r="B6" s="3" t="inlineStr">
        <is>
          <t>C001</t>
        </is>
      </c>
      <c r="C6" s="3" t="inlineStr">
        <is>
          <t>2024-06-01</t>
        </is>
      </c>
      <c r="D6" s="3" t="n">
        <v>12</v>
      </c>
      <c r="E6" s="7" t="n">
        <v>2850</v>
      </c>
      <c r="F6" s="3">
        <f>IF(TODAY()-DATEVALUE(C6)&lt;=14,5,IF(TODAY()-DATEVALUE(C6)&lt;=30,4,IF(TODAY()-DATEVALUE(C6)&lt;=60,3,IF(TODAY()-DATEVALUE(C6)&lt;=90,2,1))))</f>
        <v/>
      </c>
      <c r="G6" s="3">
        <f>IF(D6&gt;=15,5,IF(D6&gt;=10,4,IF(D6&gt;=6,3,IF(D6&gt;=3,2,1))))</f>
        <v/>
      </c>
      <c r="H6" s="3">
        <f>IF(E6&gt;=3000,5,IF(E6&gt;=1500,4,IF(E6&gt;=800,3,IF(E6&gt;=300,2,1))))</f>
        <v/>
      </c>
      <c r="I6" s="3">
        <f>F6*100+G6*10+H6</f>
        <v/>
      </c>
      <c r="J6" s="3">
        <f>IF(AND(F6&gt;=4,G6&gt;=4,H6&gt;=4),"Champions",IF(AND(F6&gt;=4,G6&gt;=3),"Loyal",IF(AND(F6&gt;=4,G6&lt;=2),"New Customers",IF(AND(F6&lt;=2,G6&gt;=4),"At Risk",IF(AND(F6&lt;=2,G6&lt;=2),"Lost","Regular")))))</f>
        <v/>
      </c>
      <c r="L6" s="12" t="inlineStr">
        <is>
          <t>Segment</t>
        </is>
      </c>
      <c r="M6" s="12" t="inlineStr">
        <is>
          <t>Count</t>
        </is>
      </c>
      <c r="N6" s="12" t="inlineStr">
        <is>
          <t>Avg Revenue</t>
        </is>
      </c>
    </row>
    <row r="7">
      <c r="B7" s="3" t="inlineStr">
        <is>
          <t>C002</t>
        </is>
      </c>
      <c r="C7" s="3" t="inlineStr">
        <is>
          <t>2024-05-15</t>
        </is>
      </c>
      <c r="D7" s="3" t="n">
        <v>8</v>
      </c>
      <c r="E7" s="7" t="n">
        <v>1920</v>
      </c>
      <c r="F7" s="3">
        <f>IF(TODAY()-DATEVALUE(C7)&lt;=14,5,IF(TODAY()-DATEVALUE(C7)&lt;=30,4,IF(TODAY()-DATEVALUE(C7)&lt;=60,3,IF(TODAY()-DATEVALUE(C7)&lt;=90,2,1))))</f>
        <v/>
      </c>
      <c r="G7" s="3">
        <f>IF(D7&gt;=15,5,IF(D7&gt;=10,4,IF(D7&gt;=6,3,IF(D7&gt;=3,2,1))))</f>
        <v/>
      </c>
      <c r="H7" s="3">
        <f>IF(E7&gt;=3000,5,IF(E7&gt;=1500,4,IF(E7&gt;=800,3,IF(E7&gt;=300,2,1))))</f>
        <v/>
      </c>
      <c r="I7" s="3">
        <f>F7*100+G7*10+H7</f>
        <v/>
      </c>
      <c r="J7" s="3">
        <f>IF(AND(F7&gt;=4,G7&gt;=4,H7&gt;=4),"Champions",IF(AND(F7&gt;=4,G7&gt;=3),"Loyal",IF(AND(F7&gt;=4,G7&lt;=2),"New Customers",IF(AND(F7&lt;=2,G7&gt;=4),"At Risk",IF(AND(F7&lt;=2,G7&lt;=2),"Lost","Regular")))))</f>
        <v/>
      </c>
      <c r="L7" s="33" t="inlineStr">
        <is>
          <t>Champions</t>
        </is>
      </c>
      <c r="M7" s="3">
        <f>COUNTIF($J$6:$J$30,L7)</f>
        <v/>
      </c>
      <c r="N7" s="7">
        <f>AVERAGEIF($J$6:$J$30,L7,$E$6:$E$30)</f>
        <v/>
      </c>
    </row>
    <row r="8">
      <c r="B8" s="3" t="inlineStr">
        <is>
          <t>C003</t>
        </is>
      </c>
      <c r="C8" s="3" t="inlineStr">
        <is>
          <t>2024-04-20</t>
        </is>
      </c>
      <c r="D8" s="3" t="n">
        <v>3</v>
      </c>
      <c r="E8" s="7" t="n">
        <v>450</v>
      </c>
      <c r="F8" s="3">
        <f>IF(TODAY()-DATEVALUE(C8)&lt;=14,5,IF(TODAY()-DATEVALUE(C8)&lt;=30,4,IF(TODAY()-DATEVALUE(C8)&lt;=60,3,IF(TODAY()-DATEVALUE(C8)&lt;=90,2,1))))</f>
        <v/>
      </c>
      <c r="G8" s="3">
        <f>IF(D8&gt;=15,5,IF(D8&gt;=10,4,IF(D8&gt;=6,3,IF(D8&gt;=3,2,1))))</f>
        <v/>
      </c>
      <c r="H8" s="3">
        <f>IF(E8&gt;=3000,5,IF(E8&gt;=1500,4,IF(E8&gt;=800,3,IF(E8&gt;=300,2,1))))</f>
        <v/>
      </c>
      <c r="I8" s="3">
        <f>F8*100+G8*10+H8</f>
        <v/>
      </c>
      <c r="J8" s="3">
        <f>IF(AND(F8&gt;=4,G8&gt;=4,H8&gt;=4),"Champions",IF(AND(F8&gt;=4,G8&gt;=3),"Loyal",IF(AND(F8&gt;=4,G8&lt;=2),"New Customers",IF(AND(F8&lt;=2,G8&gt;=4),"At Risk",IF(AND(F8&lt;=2,G8&lt;=2),"Lost","Regular")))))</f>
        <v/>
      </c>
      <c r="L8" s="34" t="inlineStr">
        <is>
          <t>Loyal</t>
        </is>
      </c>
      <c r="M8" s="3">
        <f>COUNTIF($J$6:$J$30,L8)</f>
        <v/>
      </c>
      <c r="N8" s="7">
        <f>AVERAGEIF($J$6:$J$30,L8,$E$6:$E$30)</f>
        <v/>
      </c>
    </row>
    <row r="9">
      <c r="B9" s="3" t="inlineStr">
        <is>
          <t>C004</t>
        </is>
      </c>
      <c r="C9" s="3" t="inlineStr">
        <is>
          <t>2024-06-03</t>
        </is>
      </c>
      <c r="D9" s="3" t="n">
        <v>15</v>
      </c>
      <c r="E9" s="7" t="n">
        <v>4200</v>
      </c>
      <c r="F9" s="3">
        <f>IF(TODAY()-DATEVALUE(C9)&lt;=14,5,IF(TODAY()-DATEVALUE(C9)&lt;=30,4,IF(TODAY()-DATEVALUE(C9)&lt;=60,3,IF(TODAY()-DATEVALUE(C9)&lt;=90,2,1))))</f>
        <v/>
      </c>
      <c r="G9" s="3">
        <f>IF(D9&gt;=15,5,IF(D9&gt;=10,4,IF(D9&gt;=6,3,IF(D9&gt;=3,2,1))))</f>
        <v/>
      </c>
      <c r="H9" s="3">
        <f>IF(E9&gt;=3000,5,IF(E9&gt;=1500,4,IF(E9&gt;=800,3,IF(E9&gt;=300,2,1))))</f>
        <v/>
      </c>
      <c r="I9" s="3">
        <f>F9*100+G9*10+H9</f>
        <v/>
      </c>
      <c r="J9" s="3">
        <f>IF(AND(F9&gt;=4,G9&gt;=4,H9&gt;=4),"Champions",IF(AND(F9&gt;=4,G9&gt;=3),"Loyal",IF(AND(F9&gt;=4,G9&lt;=2),"New Customers",IF(AND(F9&lt;=2,G9&gt;=4),"At Risk",IF(AND(F9&lt;=2,G9&lt;=2),"Lost","Regular")))))</f>
        <v/>
      </c>
      <c r="L9" s="35" t="inlineStr">
        <is>
          <t>New Customers</t>
        </is>
      </c>
      <c r="M9" s="3">
        <f>COUNTIF($J$6:$J$30,L9)</f>
        <v/>
      </c>
      <c r="N9" s="7">
        <f>AVERAGEIF($J$6:$J$30,L9,$E$6:$E$30)</f>
        <v/>
      </c>
    </row>
    <row r="10">
      <c r="B10" s="3" t="inlineStr">
        <is>
          <t>C005</t>
        </is>
      </c>
      <c r="C10" s="3" t="inlineStr">
        <is>
          <t>2024-03-10</t>
        </is>
      </c>
      <c r="D10" s="3" t="n">
        <v>2</v>
      </c>
      <c r="E10" s="7" t="n">
        <v>280</v>
      </c>
      <c r="F10" s="3">
        <f>IF(TODAY()-DATEVALUE(C10)&lt;=14,5,IF(TODAY()-DATEVALUE(C10)&lt;=30,4,IF(TODAY()-DATEVALUE(C10)&lt;=60,3,IF(TODAY()-DATEVALUE(C10)&lt;=90,2,1))))</f>
        <v/>
      </c>
      <c r="G10" s="3">
        <f>IF(D10&gt;=15,5,IF(D10&gt;=10,4,IF(D10&gt;=6,3,IF(D10&gt;=3,2,1))))</f>
        <v/>
      </c>
      <c r="H10" s="3">
        <f>IF(E10&gt;=3000,5,IF(E10&gt;=1500,4,IF(E10&gt;=800,3,IF(E10&gt;=300,2,1))))</f>
        <v/>
      </c>
      <c r="I10" s="3">
        <f>F10*100+G10*10+H10</f>
        <v/>
      </c>
      <c r="J10" s="3">
        <f>IF(AND(F10&gt;=4,G10&gt;=4,H10&gt;=4),"Champions",IF(AND(F10&gt;=4,G10&gt;=3),"Loyal",IF(AND(F10&gt;=4,G10&lt;=2),"New Customers",IF(AND(F10&lt;=2,G10&gt;=4),"At Risk",IF(AND(F10&lt;=2,G10&lt;=2),"Lost","Regular")))))</f>
        <v/>
      </c>
      <c r="L10" s="36" t="inlineStr">
        <is>
          <t>At Risk</t>
        </is>
      </c>
      <c r="M10" s="3">
        <f>COUNTIF($J$6:$J$30,L10)</f>
        <v/>
      </c>
      <c r="N10" s="7">
        <f>AVERAGEIF($J$6:$J$30,L10,$E$6:$E$30)</f>
        <v/>
      </c>
    </row>
    <row r="11">
      <c r="B11" s="3" t="inlineStr">
        <is>
          <t>C006</t>
        </is>
      </c>
      <c r="C11" s="3" t="inlineStr">
        <is>
          <t>2024-05-28</t>
        </is>
      </c>
      <c r="D11" s="3" t="n">
        <v>10</v>
      </c>
      <c r="E11" s="7" t="n">
        <v>2100</v>
      </c>
      <c r="F11" s="3">
        <f>IF(TODAY()-DATEVALUE(C11)&lt;=14,5,IF(TODAY()-DATEVALUE(C11)&lt;=30,4,IF(TODAY()-DATEVALUE(C11)&lt;=60,3,IF(TODAY()-DATEVALUE(C11)&lt;=90,2,1))))</f>
        <v/>
      </c>
      <c r="G11" s="3">
        <f>IF(D11&gt;=15,5,IF(D11&gt;=10,4,IF(D11&gt;=6,3,IF(D11&gt;=3,2,1))))</f>
        <v/>
      </c>
      <c r="H11" s="3">
        <f>IF(E11&gt;=3000,5,IF(E11&gt;=1500,4,IF(E11&gt;=800,3,IF(E11&gt;=300,2,1))))</f>
        <v/>
      </c>
      <c r="I11" s="3">
        <f>F11*100+G11*10+H11</f>
        <v/>
      </c>
      <c r="J11" s="3">
        <f>IF(AND(F11&gt;=4,G11&gt;=4,H11&gt;=4),"Champions",IF(AND(F11&gt;=4,G11&gt;=3),"Loyal",IF(AND(F11&gt;=4,G11&lt;=2),"New Customers",IF(AND(F11&lt;=2,G11&gt;=4),"At Risk",IF(AND(F11&lt;=2,G11&lt;=2),"Lost","Regular")))))</f>
        <v/>
      </c>
      <c r="L11" s="37" t="inlineStr">
        <is>
          <t>Lost</t>
        </is>
      </c>
      <c r="M11" s="3">
        <f>COUNTIF($J$6:$J$30,L11)</f>
        <v/>
      </c>
      <c r="N11" s="7">
        <f>AVERAGEIF($J$6:$J$30,L11,$E$6:$E$30)</f>
        <v/>
      </c>
    </row>
    <row r="12">
      <c r="B12" s="3" t="inlineStr">
        <is>
          <t>C007</t>
        </is>
      </c>
      <c r="C12" s="3" t="inlineStr">
        <is>
          <t>2024-01-15</t>
        </is>
      </c>
      <c r="D12" s="3" t="n">
        <v>1</v>
      </c>
      <c r="E12" s="7" t="n">
        <v>95</v>
      </c>
      <c r="F12" s="3">
        <f>IF(TODAY()-DATEVALUE(C12)&lt;=14,5,IF(TODAY()-DATEVALUE(C12)&lt;=30,4,IF(TODAY()-DATEVALUE(C12)&lt;=60,3,IF(TODAY()-DATEVALUE(C12)&lt;=90,2,1))))</f>
        <v/>
      </c>
      <c r="G12" s="3">
        <f>IF(D12&gt;=15,5,IF(D12&gt;=10,4,IF(D12&gt;=6,3,IF(D12&gt;=3,2,1))))</f>
        <v/>
      </c>
      <c r="H12" s="3">
        <f>IF(E12&gt;=3000,5,IF(E12&gt;=1500,4,IF(E12&gt;=800,3,IF(E12&gt;=300,2,1))))</f>
        <v/>
      </c>
      <c r="I12" s="3">
        <f>F12*100+G12*10+H12</f>
        <v/>
      </c>
      <c r="J12" s="3">
        <f>IF(AND(F12&gt;=4,G12&gt;=4,H12&gt;=4),"Champions",IF(AND(F12&gt;=4,G12&gt;=3),"Loyal",IF(AND(F12&gt;=4,G12&lt;=2),"New Customers",IF(AND(F12&lt;=2,G12&gt;=4),"At Risk",IF(AND(F12&lt;=2,G12&lt;=2),"Lost","Regular")))))</f>
        <v/>
      </c>
      <c r="L12" s="38" t="inlineStr">
        <is>
          <t>Regular</t>
        </is>
      </c>
      <c r="M12" s="3">
        <f>COUNTIF($J$6:$J$30,L12)</f>
        <v/>
      </c>
      <c r="N12" s="7">
        <f>AVERAGEIF($J$6:$J$30,L12,$E$6:$E$30)</f>
        <v/>
      </c>
    </row>
    <row r="13">
      <c r="B13" s="3" t="inlineStr">
        <is>
          <t>C008</t>
        </is>
      </c>
      <c r="C13" s="3" t="inlineStr">
        <is>
          <t>2024-06-02</t>
        </is>
      </c>
      <c r="D13" s="3" t="n">
        <v>18</v>
      </c>
      <c r="E13" s="7" t="n">
        <v>5500</v>
      </c>
      <c r="F13" s="3">
        <f>IF(TODAY()-DATEVALUE(C13)&lt;=14,5,IF(TODAY()-DATEVALUE(C13)&lt;=30,4,IF(TODAY()-DATEVALUE(C13)&lt;=60,3,IF(TODAY()-DATEVALUE(C13)&lt;=90,2,1))))</f>
        <v/>
      </c>
      <c r="G13" s="3">
        <f>IF(D13&gt;=15,5,IF(D13&gt;=10,4,IF(D13&gt;=6,3,IF(D13&gt;=3,2,1))))</f>
        <v/>
      </c>
      <c r="H13" s="3">
        <f>IF(E13&gt;=3000,5,IF(E13&gt;=1500,4,IF(E13&gt;=800,3,IF(E13&gt;=300,2,1))))</f>
        <v/>
      </c>
      <c r="I13" s="3">
        <f>F13*100+G13*10+H13</f>
        <v/>
      </c>
      <c r="J13" s="3">
        <f>IF(AND(F13&gt;=4,G13&gt;=4,H13&gt;=4),"Champions",IF(AND(F13&gt;=4,G13&gt;=3),"Loyal",IF(AND(F13&gt;=4,G13&lt;=2),"New Customers",IF(AND(F13&lt;=2,G13&gt;=4),"At Risk",IF(AND(F13&lt;=2,G13&lt;=2),"Lost","Regular")))))</f>
        <v/>
      </c>
    </row>
    <row r="14">
      <c r="B14" s="3" t="inlineStr">
        <is>
          <t>C009</t>
        </is>
      </c>
      <c r="C14" s="3" t="inlineStr">
        <is>
          <t>2024-04-05</t>
        </is>
      </c>
      <c r="D14" s="3" t="n">
        <v>5</v>
      </c>
      <c r="E14" s="7" t="n">
        <v>890</v>
      </c>
      <c r="F14" s="3">
        <f>IF(TODAY()-DATEVALUE(C14)&lt;=14,5,IF(TODAY()-DATEVALUE(C14)&lt;=30,4,IF(TODAY()-DATEVALUE(C14)&lt;=60,3,IF(TODAY()-DATEVALUE(C14)&lt;=90,2,1))))</f>
        <v/>
      </c>
      <c r="G14" s="3">
        <f>IF(D14&gt;=15,5,IF(D14&gt;=10,4,IF(D14&gt;=6,3,IF(D14&gt;=3,2,1))))</f>
        <v/>
      </c>
      <c r="H14" s="3">
        <f>IF(E14&gt;=3000,5,IF(E14&gt;=1500,4,IF(E14&gt;=800,3,IF(E14&gt;=300,2,1))))</f>
        <v/>
      </c>
      <c r="I14" s="3">
        <f>F14*100+G14*10+H14</f>
        <v/>
      </c>
      <c r="J14" s="3">
        <f>IF(AND(F14&gt;=4,G14&gt;=4,H14&gt;=4),"Champions",IF(AND(F14&gt;=4,G14&gt;=3),"Loyal",IF(AND(F14&gt;=4,G14&lt;=2),"New Customers",IF(AND(F14&lt;=2,G14&gt;=4),"At Risk",IF(AND(F14&lt;=2,G14&lt;=2),"Lost","Regular")))))</f>
        <v/>
      </c>
    </row>
    <row r="15">
      <c r="B15" s="3" t="inlineStr">
        <is>
          <t>C010</t>
        </is>
      </c>
      <c r="C15" s="3" t="inlineStr">
        <is>
          <t>2024-05-20</t>
        </is>
      </c>
      <c r="D15" s="3" t="n">
        <v>7</v>
      </c>
      <c r="E15" s="7" t="n">
        <v>1450</v>
      </c>
      <c r="F15" s="3">
        <f>IF(TODAY()-DATEVALUE(C15)&lt;=14,5,IF(TODAY()-DATEVALUE(C15)&lt;=30,4,IF(TODAY()-DATEVALUE(C15)&lt;=60,3,IF(TODAY()-DATEVALUE(C15)&lt;=90,2,1))))</f>
        <v/>
      </c>
      <c r="G15" s="3">
        <f>IF(D15&gt;=15,5,IF(D15&gt;=10,4,IF(D15&gt;=6,3,IF(D15&gt;=3,2,1))))</f>
        <v/>
      </c>
      <c r="H15" s="3">
        <f>IF(E15&gt;=3000,5,IF(E15&gt;=1500,4,IF(E15&gt;=800,3,IF(E15&gt;=300,2,1))))</f>
        <v/>
      </c>
      <c r="I15" s="3">
        <f>F15*100+G15*10+H15</f>
        <v/>
      </c>
      <c r="J15" s="3">
        <f>IF(AND(F15&gt;=4,G15&gt;=4,H15&gt;=4),"Champions",IF(AND(F15&gt;=4,G15&gt;=3),"Loyal",IF(AND(F15&gt;=4,G15&lt;=2),"New Customers",IF(AND(F15&lt;=2,G15&gt;=4),"At Risk",IF(AND(F15&lt;=2,G15&lt;=2),"Lost","Regular")))))</f>
        <v/>
      </c>
    </row>
    <row r="16">
      <c r="B16" s="3" t="inlineStr">
        <is>
          <t>C011</t>
        </is>
      </c>
      <c r="C16" s="3" t="inlineStr">
        <is>
          <t>2024-02-28</t>
        </is>
      </c>
      <c r="D16" s="3" t="n">
        <v>2</v>
      </c>
      <c r="E16" s="7" t="n">
        <v>320</v>
      </c>
      <c r="F16" s="3">
        <f>IF(TODAY()-DATEVALUE(C16)&lt;=14,5,IF(TODAY()-DATEVALUE(C16)&lt;=30,4,IF(TODAY()-DATEVALUE(C16)&lt;=60,3,IF(TODAY()-DATEVALUE(C16)&lt;=90,2,1))))</f>
        <v/>
      </c>
      <c r="G16" s="3">
        <f>IF(D16&gt;=15,5,IF(D16&gt;=10,4,IF(D16&gt;=6,3,IF(D16&gt;=3,2,1))))</f>
        <v/>
      </c>
      <c r="H16" s="3">
        <f>IF(E16&gt;=3000,5,IF(E16&gt;=1500,4,IF(E16&gt;=800,3,IF(E16&gt;=300,2,1))))</f>
        <v/>
      </c>
      <c r="I16" s="3">
        <f>F16*100+G16*10+H16</f>
        <v/>
      </c>
      <c r="J16" s="3">
        <f>IF(AND(F16&gt;=4,G16&gt;=4,H16&gt;=4),"Champions",IF(AND(F16&gt;=4,G16&gt;=3),"Loyal",IF(AND(F16&gt;=4,G16&lt;=2),"New Customers",IF(AND(F16&lt;=2,G16&gt;=4),"At Risk",IF(AND(F16&lt;=2,G16&lt;=2),"Lost","Regular")))))</f>
        <v/>
      </c>
    </row>
    <row r="17">
      <c r="B17" s="3" t="inlineStr">
        <is>
          <t>C012</t>
        </is>
      </c>
      <c r="C17" s="3" t="inlineStr">
        <is>
          <t>2024-06-04</t>
        </is>
      </c>
      <c r="D17" s="3" t="n">
        <v>14</v>
      </c>
      <c r="E17" s="7" t="n">
        <v>3800</v>
      </c>
      <c r="F17" s="3">
        <f>IF(TODAY()-DATEVALUE(C17)&lt;=14,5,IF(TODAY()-DATEVALUE(C17)&lt;=30,4,IF(TODAY()-DATEVALUE(C17)&lt;=60,3,IF(TODAY()-DATEVALUE(C17)&lt;=90,2,1))))</f>
        <v/>
      </c>
      <c r="G17" s="3">
        <f>IF(D17&gt;=15,5,IF(D17&gt;=10,4,IF(D17&gt;=6,3,IF(D17&gt;=3,2,1))))</f>
        <v/>
      </c>
      <c r="H17" s="3">
        <f>IF(E17&gt;=3000,5,IF(E17&gt;=1500,4,IF(E17&gt;=800,3,IF(E17&gt;=300,2,1))))</f>
        <v/>
      </c>
      <c r="I17" s="3">
        <f>F17*100+G17*10+H17</f>
        <v/>
      </c>
      <c r="J17" s="3">
        <f>IF(AND(F17&gt;=4,G17&gt;=4,H17&gt;=4),"Champions",IF(AND(F17&gt;=4,G17&gt;=3),"Loyal",IF(AND(F17&gt;=4,G17&lt;=2),"New Customers",IF(AND(F17&lt;=2,G17&gt;=4),"At Risk",IF(AND(F17&lt;=2,G17&lt;=2),"Lost","Regular")))))</f>
        <v/>
      </c>
    </row>
    <row r="18">
      <c r="B18" s="3" t="inlineStr">
        <is>
          <t>C013</t>
        </is>
      </c>
      <c r="C18" s="3" t="inlineStr">
        <is>
          <t>2024-05-01</t>
        </is>
      </c>
      <c r="D18" s="3" t="n">
        <v>6</v>
      </c>
      <c r="E18" s="7" t="n">
        <v>1100</v>
      </c>
      <c r="F18" s="3">
        <f>IF(TODAY()-DATEVALUE(C18)&lt;=14,5,IF(TODAY()-DATEVALUE(C18)&lt;=30,4,IF(TODAY()-DATEVALUE(C18)&lt;=60,3,IF(TODAY()-DATEVALUE(C18)&lt;=90,2,1))))</f>
        <v/>
      </c>
      <c r="G18" s="3">
        <f>IF(D18&gt;=15,5,IF(D18&gt;=10,4,IF(D18&gt;=6,3,IF(D18&gt;=3,2,1))))</f>
        <v/>
      </c>
      <c r="H18" s="3">
        <f>IF(E18&gt;=3000,5,IF(E18&gt;=1500,4,IF(E18&gt;=800,3,IF(E18&gt;=300,2,1))))</f>
        <v/>
      </c>
      <c r="I18" s="3">
        <f>F18*100+G18*10+H18</f>
        <v/>
      </c>
      <c r="J18" s="3">
        <f>IF(AND(F18&gt;=4,G18&gt;=4,H18&gt;=4),"Champions",IF(AND(F18&gt;=4,G18&gt;=3),"Loyal",IF(AND(F18&gt;=4,G18&lt;=2),"New Customers",IF(AND(F18&lt;=2,G18&gt;=4),"At Risk",IF(AND(F18&lt;=2,G18&lt;=2),"Lost","Regular")))))</f>
        <v/>
      </c>
    </row>
    <row r="19">
      <c r="B19" s="3" t="inlineStr">
        <is>
          <t>C014</t>
        </is>
      </c>
      <c r="C19" s="3" t="inlineStr">
        <is>
          <t>2024-03-25</t>
        </is>
      </c>
      <c r="D19" s="3" t="n">
        <v>4</v>
      </c>
      <c r="E19" s="7" t="n">
        <v>680</v>
      </c>
      <c r="F19" s="3">
        <f>IF(TODAY()-DATEVALUE(C19)&lt;=14,5,IF(TODAY()-DATEVALUE(C19)&lt;=30,4,IF(TODAY()-DATEVALUE(C19)&lt;=60,3,IF(TODAY()-DATEVALUE(C19)&lt;=90,2,1))))</f>
        <v/>
      </c>
      <c r="G19" s="3">
        <f>IF(D19&gt;=15,5,IF(D19&gt;=10,4,IF(D19&gt;=6,3,IF(D19&gt;=3,2,1))))</f>
        <v/>
      </c>
      <c r="H19" s="3">
        <f>IF(E19&gt;=3000,5,IF(E19&gt;=1500,4,IF(E19&gt;=800,3,IF(E19&gt;=300,2,1))))</f>
        <v/>
      </c>
      <c r="I19" s="3">
        <f>F19*100+G19*10+H19</f>
        <v/>
      </c>
      <c r="J19" s="3">
        <f>IF(AND(F19&gt;=4,G19&gt;=4,H19&gt;=4),"Champions",IF(AND(F19&gt;=4,G19&gt;=3),"Loyal",IF(AND(F19&gt;=4,G19&lt;=2),"New Customers",IF(AND(F19&lt;=2,G19&gt;=4),"At Risk",IF(AND(F19&lt;=2,G19&lt;=2),"Lost","Regular")))))</f>
        <v/>
      </c>
    </row>
    <row r="20">
      <c r="B20" s="3" t="inlineStr">
        <is>
          <t>C015</t>
        </is>
      </c>
      <c r="C20" s="3" t="inlineStr">
        <is>
          <t>2024-05-30</t>
        </is>
      </c>
      <c r="D20" s="3" t="n">
        <v>11</v>
      </c>
      <c r="E20" s="7" t="n">
        <v>2400</v>
      </c>
      <c r="F20" s="3">
        <f>IF(TODAY()-DATEVALUE(C20)&lt;=14,5,IF(TODAY()-DATEVALUE(C20)&lt;=30,4,IF(TODAY()-DATEVALUE(C20)&lt;=60,3,IF(TODAY()-DATEVALUE(C20)&lt;=90,2,1))))</f>
        <v/>
      </c>
      <c r="G20" s="3">
        <f>IF(D20&gt;=15,5,IF(D20&gt;=10,4,IF(D20&gt;=6,3,IF(D20&gt;=3,2,1))))</f>
        <v/>
      </c>
      <c r="H20" s="3">
        <f>IF(E20&gt;=3000,5,IF(E20&gt;=1500,4,IF(E20&gt;=800,3,IF(E20&gt;=300,2,1))))</f>
        <v/>
      </c>
      <c r="I20" s="3">
        <f>F20*100+G20*10+H20</f>
        <v/>
      </c>
      <c r="J20" s="3">
        <f>IF(AND(F20&gt;=4,G20&gt;=4,H20&gt;=4),"Champions",IF(AND(F20&gt;=4,G20&gt;=3),"Loyal",IF(AND(F20&gt;=4,G20&lt;=2),"New Customers",IF(AND(F20&lt;=2,G20&gt;=4),"At Risk",IF(AND(F20&lt;=2,G20&lt;=2),"Lost","Regular")))))</f>
        <v/>
      </c>
    </row>
    <row r="21">
      <c r="B21" s="3" t="inlineStr">
        <is>
          <t>C016</t>
        </is>
      </c>
      <c r="C21" s="3" t="inlineStr">
        <is>
          <t>2024-04-15</t>
        </is>
      </c>
      <c r="D21" s="3" t="n">
        <v>3</v>
      </c>
      <c r="E21" s="7" t="n">
        <v>520</v>
      </c>
      <c r="F21" s="3">
        <f>IF(TODAY()-DATEVALUE(C21)&lt;=14,5,IF(TODAY()-DATEVALUE(C21)&lt;=30,4,IF(TODAY()-DATEVALUE(C21)&lt;=60,3,IF(TODAY()-DATEVALUE(C21)&lt;=90,2,1))))</f>
        <v/>
      </c>
      <c r="G21" s="3">
        <f>IF(D21&gt;=15,5,IF(D21&gt;=10,4,IF(D21&gt;=6,3,IF(D21&gt;=3,2,1))))</f>
        <v/>
      </c>
      <c r="H21" s="3">
        <f>IF(E21&gt;=3000,5,IF(E21&gt;=1500,4,IF(E21&gt;=800,3,IF(E21&gt;=300,2,1))))</f>
        <v/>
      </c>
      <c r="I21" s="3">
        <f>F21*100+G21*10+H21</f>
        <v/>
      </c>
      <c r="J21" s="3">
        <f>IF(AND(F21&gt;=4,G21&gt;=4,H21&gt;=4),"Champions",IF(AND(F21&gt;=4,G21&gt;=3),"Loyal",IF(AND(F21&gt;=4,G21&lt;=2),"New Customers",IF(AND(F21&lt;=2,G21&gt;=4),"At Risk",IF(AND(F21&lt;=2,G21&lt;=2),"Lost","Regular")))))</f>
        <v/>
      </c>
    </row>
    <row r="22">
      <c r="B22" s="3" t="inlineStr">
        <is>
          <t>C017</t>
        </is>
      </c>
      <c r="C22" s="3" t="inlineStr">
        <is>
          <t>2024-06-05</t>
        </is>
      </c>
      <c r="D22" s="3" t="n">
        <v>20</v>
      </c>
      <c r="E22" s="7" t="n">
        <v>6200</v>
      </c>
      <c r="F22" s="3">
        <f>IF(TODAY()-DATEVALUE(C22)&lt;=14,5,IF(TODAY()-DATEVALUE(C22)&lt;=30,4,IF(TODAY()-DATEVALUE(C22)&lt;=60,3,IF(TODAY()-DATEVALUE(C22)&lt;=90,2,1))))</f>
        <v/>
      </c>
      <c r="G22" s="3">
        <f>IF(D22&gt;=15,5,IF(D22&gt;=10,4,IF(D22&gt;=6,3,IF(D22&gt;=3,2,1))))</f>
        <v/>
      </c>
      <c r="H22" s="3">
        <f>IF(E22&gt;=3000,5,IF(E22&gt;=1500,4,IF(E22&gt;=800,3,IF(E22&gt;=300,2,1))))</f>
        <v/>
      </c>
      <c r="I22" s="3">
        <f>F22*100+G22*10+H22</f>
        <v/>
      </c>
      <c r="J22" s="3">
        <f>IF(AND(F22&gt;=4,G22&gt;=4,H22&gt;=4),"Champions",IF(AND(F22&gt;=4,G22&gt;=3),"Loyal",IF(AND(F22&gt;=4,G22&lt;=2),"New Customers",IF(AND(F22&lt;=2,G22&gt;=4),"At Risk",IF(AND(F22&lt;=2,G22&lt;=2),"Lost","Regular")))))</f>
        <v/>
      </c>
    </row>
    <row r="23">
      <c r="B23" s="3" t="inlineStr">
        <is>
          <t>C018</t>
        </is>
      </c>
      <c r="C23" s="3" t="inlineStr">
        <is>
          <t>2024-05-10</t>
        </is>
      </c>
      <c r="D23" s="3" t="n">
        <v>9</v>
      </c>
      <c r="E23" s="7" t="n">
        <v>1850</v>
      </c>
      <c r="F23" s="3">
        <f>IF(TODAY()-DATEVALUE(C23)&lt;=14,5,IF(TODAY()-DATEVALUE(C23)&lt;=30,4,IF(TODAY()-DATEVALUE(C23)&lt;=60,3,IF(TODAY()-DATEVALUE(C23)&lt;=90,2,1))))</f>
        <v/>
      </c>
      <c r="G23" s="3">
        <f>IF(D23&gt;=15,5,IF(D23&gt;=10,4,IF(D23&gt;=6,3,IF(D23&gt;=3,2,1))))</f>
        <v/>
      </c>
      <c r="H23" s="3">
        <f>IF(E23&gt;=3000,5,IF(E23&gt;=1500,4,IF(E23&gt;=800,3,IF(E23&gt;=300,2,1))))</f>
        <v/>
      </c>
      <c r="I23" s="3">
        <f>F23*100+G23*10+H23</f>
        <v/>
      </c>
      <c r="J23" s="3">
        <f>IF(AND(F23&gt;=4,G23&gt;=4,H23&gt;=4),"Champions",IF(AND(F23&gt;=4,G23&gt;=3),"Loyal",IF(AND(F23&gt;=4,G23&lt;=2),"New Customers",IF(AND(F23&lt;=2,G23&gt;=4),"At Risk",IF(AND(F23&lt;=2,G23&lt;=2),"Lost","Regular")))))</f>
        <v/>
      </c>
    </row>
    <row r="24">
      <c r="B24" s="3" t="inlineStr">
        <is>
          <t>C019</t>
        </is>
      </c>
      <c r="C24" s="3" t="inlineStr">
        <is>
          <t>2024-02-10</t>
        </is>
      </c>
      <c r="D24" s="3" t="n">
        <v>1</v>
      </c>
      <c r="E24" s="7" t="n">
        <v>150</v>
      </c>
      <c r="F24" s="3">
        <f>IF(TODAY()-DATEVALUE(C24)&lt;=14,5,IF(TODAY()-DATEVALUE(C24)&lt;=30,4,IF(TODAY()-DATEVALUE(C24)&lt;=60,3,IF(TODAY()-DATEVALUE(C24)&lt;=90,2,1))))</f>
        <v/>
      </c>
      <c r="G24" s="3">
        <f>IF(D24&gt;=15,5,IF(D24&gt;=10,4,IF(D24&gt;=6,3,IF(D24&gt;=3,2,1))))</f>
        <v/>
      </c>
      <c r="H24" s="3">
        <f>IF(E24&gt;=3000,5,IF(E24&gt;=1500,4,IF(E24&gt;=800,3,IF(E24&gt;=300,2,1))))</f>
        <v/>
      </c>
      <c r="I24" s="3">
        <f>F24*100+G24*10+H24</f>
        <v/>
      </c>
      <c r="J24" s="3">
        <f>IF(AND(F24&gt;=4,G24&gt;=4,H24&gt;=4),"Champions",IF(AND(F24&gt;=4,G24&gt;=3),"Loyal",IF(AND(F24&gt;=4,G24&lt;=2),"New Customers",IF(AND(F24&lt;=2,G24&gt;=4),"At Risk",IF(AND(F24&lt;=2,G24&lt;=2),"Lost","Regular")))))</f>
        <v/>
      </c>
    </row>
    <row r="25">
      <c r="B25" s="3" t="inlineStr">
        <is>
          <t>C020</t>
        </is>
      </c>
      <c r="C25" s="3" t="inlineStr">
        <is>
          <t>2024-05-25</t>
        </is>
      </c>
      <c r="D25" s="3" t="n">
        <v>8</v>
      </c>
      <c r="E25" s="7" t="n">
        <v>1680</v>
      </c>
      <c r="F25" s="3">
        <f>IF(TODAY()-DATEVALUE(C25)&lt;=14,5,IF(TODAY()-DATEVALUE(C25)&lt;=30,4,IF(TODAY()-DATEVALUE(C25)&lt;=60,3,IF(TODAY()-DATEVALUE(C25)&lt;=90,2,1))))</f>
        <v/>
      </c>
      <c r="G25" s="3">
        <f>IF(D25&gt;=15,5,IF(D25&gt;=10,4,IF(D25&gt;=6,3,IF(D25&gt;=3,2,1))))</f>
        <v/>
      </c>
      <c r="H25" s="3">
        <f>IF(E25&gt;=3000,5,IF(E25&gt;=1500,4,IF(E25&gt;=800,3,IF(E25&gt;=300,2,1))))</f>
        <v/>
      </c>
      <c r="I25" s="3">
        <f>F25*100+G25*10+H25</f>
        <v/>
      </c>
      <c r="J25" s="3">
        <f>IF(AND(F25&gt;=4,G25&gt;=4,H25&gt;=4),"Champions",IF(AND(F25&gt;=4,G25&gt;=3),"Loyal",IF(AND(F25&gt;=4,G25&lt;=2),"New Customers",IF(AND(F25&lt;=2,G25&gt;=4),"At Risk",IF(AND(F25&lt;=2,G25&lt;=2),"Lost","Regular")))))</f>
        <v/>
      </c>
    </row>
    <row r="26">
      <c r="B26" s="3" t="inlineStr">
        <is>
          <t>C021</t>
        </is>
      </c>
      <c r="C26" s="3" t="inlineStr">
        <is>
          <t>2024-04-30</t>
        </is>
      </c>
      <c r="D26" s="3" t="n">
        <v>5</v>
      </c>
      <c r="E26" s="7" t="n">
        <v>920</v>
      </c>
      <c r="F26" s="3">
        <f>IF(TODAY()-DATEVALUE(C26)&lt;=14,5,IF(TODAY()-DATEVALUE(C26)&lt;=30,4,IF(TODAY()-DATEVALUE(C26)&lt;=60,3,IF(TODAY()-DATEVALUE(C26)&lt;=90,2,1))))</f>
        <v/>
      </c>
      <c r="G26" s="3">
        <f>IF(D26&gt;=15,5,IF(D26&gt;=10,4,IF(D26&gt;=6,3,IF(D26&gt;=3,2,1))))</f>
        <v/>
      </c>
      <c r="H26" s="3">
        <f>IF(E26&gt;=3000,5,IF(E26&gt;=1500,4,IF(E26&gt;=800,3,IF(E26&gt;=300,2,1))))</f>
        <v/>
      </c>
      <c r="I26" s="3">
        <f>F26*100+G26*10+H26</f>
        <v/>
      </c>
      <c r="J26" s="3">
        <f>IF(AND(F26&gt;=4,G26&gt;=4,H26&gt;=4),"Champions",IF(AND(F26&gt;=4,G26&gt;=3),"Loyal",IF(AND(F26&gt;=4,G26&lt;=2),"New Customers",IF(AND(F26&lt;=2,G26&gt;=4),"At Risk",IF(AND(F26&lt;=2,G26&lt;=2),"Lost","Regular")))))</f>
        <v/>
      </c>
    </row>
    <row r="27">
      <c r="B27" s="3" t="inlineStr">
        <is>
          <t>C022</t>
        </is>
      </c>
      <c r="C27" s="3" t="inlineStr">
        <is>
          <t>2024-06-01</t>
        </is>
      </c>
      <c r="D27" s="3" t="n">
        <v>16</v>
      </c>
      <c r="E27" s="7" t="n">
        <v>4800</v>
      </c>
      <c r="F27" s="3">
        <f>IF(TODAY()-DATEVALUE(C27)&lt;=14,5,IF(TODAY()-DATEVALUE(C27)&lt;=30,4,IF(TODAY()-DATEVALUE(C27)&lt;=60,3,IF(TODAY()-DATEVALUE(C27)&lt;=90,2,1))))</f>
        <v/>
      </c>
      <c r="G27" s="3">
        <f>IF(D27&gt;=15,5,IF(D27&gt;=10,4,IF(D27&gt;=6,3,IF(D27&gt;=3,2,1))))</f>
        <v/>
      </c>
      <c r="H27" s="3">
        <f>IF(E27&gt;=3000,5,IF(E27&gt;=1500,4,IF(E27&gt;=800,3,IF(E27&gt;=300,2,1))))</f>
        <v/>
      </c>
      <c r="I27" s="3">
        <f>F27*100+G27*10+H27</f>
        <v/>
      </c>
      <c r="J27" s="3">
        <f>IF(AND(F27&gt;=4,G27&gt;=4,H27&gt;=4),"Champions",IF(AND(F27&gt;=4,G27&gt;=3),"Loyal",IF(AND(F27&gt;=4,G27&lt;=2),"New Customers",IF(AND(F27&lt;=2,G27&gt;=4),"At Risk",IF(AND(F27&lt;=2,G27&lt;=2),"Lost","Regular")))))</f>
        <v/>
      </c>
    </row>
    <row r="28">
      <c r="B28" s="3" t="inlineStr">
        <is>
          <t>C023</t>
        </is>
      </c>
      <c r="C28" s="3" t="inlineStr">
        <is>
          <t>2024-03-20</t>
        </is>
      </c>
      <c r="D28" s="3" t="n">
        <v>2</v>
      </c>
      <c r="E28" s="7" t="n">
        <v>380</v>
      </c>
      <c r="F28" s="3">
        <f>IF(TODAY()-DATEVALUE(C28)&lt;=14,5,IF(TODAY()-DATEVALUE(C28)&lt;=30,4,IF(TODAY()-DATEVALUE(C28)&lt;=60,3,IF(TODAY()-DATEVALUE(C28)&lt;=90,2,1))))</f>
        <v/>
      </c>
      <c r="G28" s="3">
        <f>IF(D28&gt;=15,5,IF(D28&gt;=10,4,IF(D28&gt;=6,3,IF(D28&gt;=3,2,1))))</f>
        <v/>
      </c>
      <c r="H28" s="3">
        <f>IF(E28&gt;=3000,5,IF(E28&gt;=1500,4,IF(E28&gt;=800,3,IF(E28&gt;=300,2,1))))</f>
        <v/>
      </c>
      <c r="I28" s="3">
        <f>F28*100+G28*10+H28</f>
        <v/>
      </c>
      <c r="J28" s="3">
        <f>IF(AND(F28&gt;=4,G28&gt;=4,H28&gt;=4),"Champions",IF(AND(F28&gt;=4,G28&gt;=3),"Loyal",IF(AND(F28&gt;=4,G28&lt;=2),"New Customers",IF(AND(F28&lt;=2,G28&gt;=4),"At Risk",IF(AND(F28&lt;=2,G28&lt;=2),"Lost","Regular")))))</f>
        <v/>
      </c>
    </row>
    <row r="29">
      <c r="B29" s="3" t="inlineStr">
        <is>
          <t>C024</t>
        </is>
      </c>
      <c r="C29" s="3" t="inlineStr">
        <is>
          <t>2024-05-22</t>
        </is>
      </c>
      <c r="D29" s="3" t="n">
        <v>7</v>
      </c>
      <c r="E29" s="7" t="n">
        <v>1320</v>
      </c>
      <c r="F29" s="3">
        <f>IF(TODAY()-DATEVALUE(C29)&lt;=14,5,IF(TODAY()-DATEVALUE(C29)&lt;=30,4,IF(TODAY()-DATEVALUE(C29)&lt;=60,3,IF(TODAY()-DATEVALUE(C29)&lt;=90,2,1))))</f>
        <v/>
      </c>
      <c r="G29" s="3">
        <f>IF(D29&gt;=15,5,IF(D29&gt;=10,4,IF(D29&gt;=6,3,IF(D29&gt;=3,2,1))))</f>
        <v/>
      </c>
      <c r="H29" s="3">
        <f>IF(E29&gt;=3000,5,IF(E29&gt;=1500,4,IF(E29&gt;=800,3,IF(E29&gt;=300,2,1))))</f>
        <v/>
      </c>
      <c r="I29" s="3">
        <f>F29*100+G29*10+H29</f>
        <v/>
      </c>
      <c r="J29" s="3">
        <f>IF(AND(F29&gt;=4,G29&gt;=4,H29&gt;=4),"Champions",IF(AND(F29&gt;=4,G29&gt;=3),"Loyal",IF(AND(F29&gt;=4,G29&lt;=2),"New Customers",IF(AND(F29&lt;=2,G29&gt;=4),"At Risk",IF(AND(F29&lt;=2,G29&lt;=2),"Lost","Regular")))))</f>
        <v/>
      </c>
    </row>
    <row r="30">
      <c r="B30" s="3" t="inlineStr">
        <is>
          <t>C025</t>
        </is>
      </c>
      <c r="C30" s="3" t="inlineStr">
        <is>
          <t>2024-01-05</t>
        </is>
      </c>
      <c r="D30" s="3" t="n">
        <v>1</v>
      </c>
      <c r="E30" s="7" t="n">
        <v>85</v>
      </c>
      <c r="F30" s="3">
        <f>IF(TODAY()-DATEVALUE(C30)&lt;=14,5,IF(TODAY()-DATEVALUE(C30)&lt;=30,4,IF(TODAY()-DATEVALUE(C30)&lt;=60,3,IF(TODAY()-DATEVALUE(C30)&lt;=90,2,1))))</f>
        <v/>
      </c>
      <c r="G30" s="3">
        <f>IF(D30&gt;=15,5,IF(D30&gt;=10,4,IF(D30&gt;=6,3,IF(D30&gt;=3,2,1))))</f>
        <v/>
      </c>
      <c r="H30" s="3">
        <f>IF(E30&gt;=3000,5,IF(E30&gt;=1500,4,IF(E30&gt;=800,3,IF(E30&gt;=300,2,1))))</f>
        <v/>
      </c>
      <c r="I30" s="3">
        <f>F30*100+G30*10+H30</f>
        <v/>
      </c>
      <c r="J30" s="3">
        <f>IF(AND(F30&gt;=4,G30&gt;=4,H30&gt;=4),"Champions",IF(AND(F30&gt;=4,G30&gt;=3),"Loyal",IF(AND(F30&gt;=4,G30&lt;=2),"New Customers",IF(AND(F30&lt;=2,G30&gt;=4),"At Risk",IF(AND(F30&lt;=2,G30&lt;=2),"Lost","Regular")))))</f>
        <v/>
      </c>
    </row>
  </sheetData>
  <mergeCells count="2">
    <mergeCell ref="L5:N5"/>
    <mergeCell ref="B2:J2"/>
  </mergeCells>
  <conditionalFormatting sqref="J6:J30">
    <cfRule type="expression" priority="1" dxfId="1">
      <formula>$J6="Champions"</formula>
    </cfRule>
    <cfRule type="expression" priority="2" dxfId="4">
      <formula>$J6="Loyal"</formula>
    </cfRule>
    <cfRule type="expression" priority="3" dxfId="5">
      <formula>$J6="New Customers"</formula>
    </cfRule>
    <cfRule type="expression" priority="4" dxfId="3">
      <formula>$J6="At Risk"</formula>
    </cfRule>
    <cfRule type="expression" priority="5" dxfId="2">
      <formula>$J6="Lost"</formula>
    </cfRule>
    <cfRule type="expression" priority="6" dxfId="6">
      <formula>$J6="Regular"</formula>
    </cfRule>
  </conditionalFormatting>
  <conditionalFormatting sqref="E6:E30">
    <cfRule type="colorScale" priority="7">
      <colorScale>
        <cfvo type="min"/>
        <cfvo type="percentile" val="50"/>
        <cfvo type="max"/>
        <color rgb="00FFFFFF"/>
        <color rgb="00BDD7EE"/>
        <color rgb="001565C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B2:H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2">
      <c r="B2" s="39" t="inlineStr">
        <is>
          <t>SALES FORECASTING MODEL</t>
        </is>
      </c>
    </row>
    <row r="3">
      <c r="B3" s="32" t="inlineStr">
        <is>
          <t>Moving Average &amp; Trend Analysis</t>
        </is>
      </c>
    </row>
    <row r="5">
      <c r="B5" s="2" t="inlineStr">
        <is>
          <t>Month</t>
        </is>
      </c>
      <c r="C5" s="2" t="inlineStr">
        <is>
          <t>Actual Sales</t>
        </is>
      </c>
      <c r="D5" s="2" t="inlineStr">
        <is>
          <t>3-Mo MA</t>
        </is>
      </c>
      <c r="E5" s="2" t="inlineStr">
        <is>
          <t>6-Mo MA</t>
        </is>
      </c>
      <c r="F5" s="2" t="inlineStr">
        <is>
          <t>Growth Rate</t>
        </is>
      </c>
      <c r="G5" s="2" t="inlineStr">
        <is>
          <t>Forecast</t>
        </is>
      </c>
      <c r="H5" s="2" t="inlineStr">
        <is>
          <t>Variance</t>
        </is>
      </c>
    </row>
    <row r="6">
      <c r="B6" s="3" t="inlineStr">
        <is>
          <t>Jan 2024</t>
        </is>
      </c>
      <c r="C6" s="7" t="n">
        <v>85000</v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B7" s="3" t="inlineStr">
        <is>
          <t>Feb 2024</t>
        </is>
      </c>
      <c r="C7" s="7" t="n">
        <v>92000</v>
      </c>
      <c r="D7" s="3" t="inlineStr">
        <is>
          <t>-</t>
        </is>
      </c>
      <c r="E7" s="3" t="inlineStr">
        <is>
          <t>-</t>
        </is>
      </c>
      <c r="F7" s="6">
        <f>(C7-C6)/C6</f>
        <v/>
      </c>
      <c r="G7" s="3" t="inlineStr">
        <is>
          <t>-</t>
        </is>
      </c>
      <c r="H7" s="3" t="inlineStr">
        <is>
          <t>-</t>
        </is>
      </c>
    </row>
    <row r="8">
      <c r="B8" s="3" t="inlineStr">
        <is>
          <t>Mar 2024</t>
        </is>
      </c>
      <c r="C8" s="7" t="n">
        <v>98000</v>
      </c>
      <c r="D8" s="7">
        <f>AVERAGE(C6:C8)</f>
        <v/>
      </c>
      <c r="E8" s="3" t="inlineStr">
        <is>
          <t>-</t>
        </is>
      </c>
      <c r="F8" s="6">
        <f>(C8-C7)/C7</f>
        <v/>
      </c>
      <c r="G8" s="3" t="inlineStr">
        <is>
          <t>-</t>
        </is>
      </c>
      <c r="H8" s="3" t="inlineStr">
        <is>
          <t>-</t>
        </is>
      </c>
    </row>
    <row r="9">
      <c r="B9" s="3" t="inlineStr">
        <is>
          <t>Apr 2024</t>
        </is>
      </c>
      <c r="C9" s="7" t="n">
        <v>105000</v>
      </c>
      <c r="D9" s="7">
        <f>AVERAGE(C7:C9)</f>
        <v/>
      </c>
      <c r="E9" s="3" t="inlineStr">
        <is>
          <t>-</t>
        </is>
      </c>
      <c r="F9" s="6">
        <f>(C9-C8)/C8</f>
        <v/>
      </c>
      <c r="G9" s="3" t="inlineStr">
        <is>
          <t>-</t>
        </is>
      </c>
      <c r="H9" s="3" t="inlineStr">
        <is>
          <t>-</t>
        </is>
      </c>
    </row>
    <row r="10">
      <c r="B10" s="3" t="inlineStr">
        <is>
          <t>May 2024</t>
        </is>
      </c>
      <c r="C10" s="7" t="n">
        <v>112000</v>
      </c>
      <c r="D10" s="7">
        <f>AVERAGE(C8:C10)</f>
        <v/>
      </c>
      <c r="E10" s="3" t="inlineStr">
        <is>
          <t>-</t>
        </is>
      </c>
      <c r="F10" s="6">
        <f>(C10-C9)/C9</f>
        <v/>
      </c>
      <c r="G10" s="3" t="inlineStr">
        <is>
          <t>-</t>
        </is>
      </c>
      <c r="H10" s="3" t="inlineStr">
        <is>
          <t>-</t>
        </is>
      </c>
    </row>
    <row r="11">
      <c r="B11" s="3" t="inlineStr">
        <is>
          <t>Jun 2024</t>
        </is>
      </c>
      <c r="C11" s="7" t="n">
        <v>118000</v>
      </c>
      <c r="D11" s="7">
        <f>AVERAGE(C9:C11)</f>
        <v/>
      </c>
      <c r="E11" s="7">
        <f>AVERAGE(C6:C11)</f>
        <v/>
      </c>
      <c r="F11" s="6">
        <f>(C11-C10)/C10</f>
        <v/>
      </c>
      <c r="G11" s="3" t="inlineStr">
        <is>
          <t>-</t>
        </is>
      </c>
      <c r="H11" s="3" t="inlineStr">
        <is>
          <t>-</t>
        </is>
      </c>
    </row>
    <row r="12">
      <c r="B12" s="3" t="inlineStr">
        <is>
          <t>Jul 2024</t>
        </is>
      </c>
      <c r="C12" s="7" t="n">
        <v>125000</v>
      </c>
      <c r="D12" s="7">
        <f>AVERAGE(C10:C12)</f>
        <v/>
      </c>
      <c r="E12" s="7">
        <f>AVERAGE(C7:C12)</f>
        <v/>
      </c>
      <c r="F12" s="6">
        <f>(C12-C11)/C11</f>
        <v/>
      </c>
      <c r="G12" s="3" t="inlineStr">
        <is>
          <t>-</t>
        </is>
      </c>
      <c r="H12" s="3" t="inlineStr">
        <is>
          <t>-</t>
        </is>
      </c>
    </row>
    <row r="13">
      <c r="B13" s="3" t="inlineStr">
        <is>
          <t>Aug 2024</t>
        </is>
      </c>
      <c r="C13" s="7" t="n">
        <v>132000</v>
      </c>
      <c r="D13" s="7">
        <f>AVERAGE(C11:C13)</f>
        <v/>
      </c>
      <c r="E13" s="7">
        <f>AVERAGE(C8:C13)</f>
        <v/>
      </c>
      <c r="F13" s="6">
        <f>(C13-C12)/C12</f>
        <v/>
      </c>
      <c r="G13" s="3" t="inlineStr">
        <is>
          <t>-</t>
        </is>
      </c>
      <c r="H13" s="3" t="inlineStr">
        <is>
          <t>-</t>
        </is>
      </c>
    </row>
    <row r="14">
      <c r="B14" s="3" t="inlineStr">
        <is>
          <t>Sep 2024</t>
        </is>
      </c>
      <c r="C14" s="7" t="n">
        <v>128000</v>
      </c>
      <c r="D14" s="7">
        <f>AVERAGE(C12:C14)</f>
        <v/>
      </c>
      <c r="E14" s="7">
        <f>AVERAGE(C9:C14)</f>
        <v/>
      </c>
      <c r="F14" s="6">
        <f>(C14-C13)/C13</f>
        <v/>
      </c>
      <c r="G14" s="3" t="inlineStr">
        <is>
          <t>-</t>
        </is>
      </c>
      <c r="H14" s="3" t="inlineStr">
        <is>
          <t>-</t>
        </is>
      </c>
    </row>
    <row r="15">
      <c r="B15" s="3" t="inlineStr">
        <is>
          <t>Oct 2024</t>
        </is>
      </c>
      <c r="C15" s="7" t="n">
        <v>135000</v>
      </c>
      <c r="D15" s="7">
        <f>AVERAGE(C13:C15)</f>
        <v/>
      </c>
      <c r="E15" s="7">
        <f>AVERAGE(C10:C15)</f>
        <v/>
      </c>
      <c r="F15" s="6">
        <f>(C15-C14)/C14</f>
        <v/>
      </c>
      <c r="G15" s="3" t="inlineStr">
        <is>
          <t>-</t>
        </is>
      </c>
      <c r="H15" s="3" t="inlineStr">
        <is>
          <t>-</t>
        </is>
      </c>
    </row>
    <row r="16">
      <c r="B16" s="3" t="inlineStr">
        <is>
          <t>Nov 2024</t>
        </is>
      </c>
      <c r="C16" s="7" t="n">
        <v>142000</v>
      </c>
      <c r="D16" s="7">
        <f>AVERAGE(C14:C16)</f>
        <v/>
      </c>
      <c r="E16" s="7">
        <f>AVERAGE(C11:C16)</f>
        <v/>
      </c>
      <c r="F16" s="6">
        <f>(C16-C15)/C15</f>
        <v/>
      </c>
      <c r="G16" s="3" t="inlineStr">
        <is>
          <t>-</t>
        </is>
      </c>
      <c r="H16" s="3" t="inlineStr">
        <is>
          <t>-</t>
        </is>
      </c>
    </row>
    <row r="17">
      <c r="B17" s="3" t="inlineStr">
        <is>
          <t>Dec 2024</t>
        </is>
      </c>
      <c r="C17" s="7" t="n">
        <v>155000</v>
      </c>
      <c r="D17" s="7">
        <f>AVERAGE(C15:C17)</f>
        <v/>
      </c>
      <c r="E17" s="7">
        <f>AVERAGE(C12:C17)</f>
        <v/>
      </c>
      <c r="F17" s="6">
        <f>(C17-C16)/C16</f>
        <v/>
      </c>
      <c r="G17" s="3" t="inlineStr">
        <is>
          <t>-</t>
        </is>
      </c>
      <c r="H17" s="3" t="inlineStr">
        <is>
          <t>-</t>
        </is>
      </c>
    </row>
    <row r="19">
      <c r="B19" s="14" t="inlineStr">
        <is>
          <t>6-MONTH FORECAST</t>
        </is>
      </c>
    </row>
    <row r="20">
      <c r="B20" s="40" t="inlineStr">
        <is>
          <t>Jan 2025</t>
        </is>
      </c>
      <c r="C20" s="3" t="inlineStr">
        <is>
          <t>-</t>
        </is>
      </c>
      <c r="D20" s="7">
        <f>AVERAGE(C15:C17)</f>
        <v/>
      </c>
      <c r="E20" s="3" t="inlineStr">
        <is>
          <t>-</t>
        </is>
      </c>
      <c r="F20" s="6">
        <f>AVERAGE($F$7:$F$17)</f>
        <v/>
      </c>
      <c r="G20" s="41">
        <f>C17*(1+F20)</f>
        <v/>
      </c>
      <c r="H20" s="3" t="inlineStr">
        <is>
          <t>-</t>
        </is>
      </c>
    </row>
    <row r="21">
      <c r="B21" s="40" t="inlineStr">
        <is>
          <t>Feb 2025</t>
        </is>
      </c>
      <c r="C21" s="3" t="inlineStr">
        <is>
          <t>-</t>
        </is>
      </c>
      <c r="D21" s="7">
        <f>AVERAGE(G18:G20)</f>
        <v/>
      </c>
      <c r="E21" s="3" t="inlineStr">
        <is>
          <t>-</t>
        </is>
      </c>
      <c r="F21" s="6">
        <f>AVERAGE($F$7:$F$17)</f>
        <v/>
      </c>
      <c r="G21" s="41">
        <f>G20*(1+F21)</f>
        <v/>
      </c>
      <c r="H21" s="3" t="inlineStr">
        <is>
          <t>-</t>
        </is>
      </c>
    </row>
    <row r="22">
      <c r="B22" s="40" t="inlineStr">
        <is>
          <t>Mar 2025</t>
        </is>
      </c>
      <c r="C22" s="3" t="inlineStr">
        <is>
          <t>-</t>
        </is>
      </c>
      <c r="D22" s="7">
        <f>AVERAGE(G19:G21)</f>
        <v/>
      </c>
      <c r="E22" s="3" t="inlineStr">
        <is>
          <t>-</t>
        </is>
      </c>
      <c r="F22" s="6">
        <f>AVERAGE($F$7:$F$17)</f>
        <v/>
      </c>
      <c r="G22" s="41">
        <f>G21*(1+F22)</f>
        <v/>
      </c>
      <c r="H22" s="3" t="inlineStr">
        <is>
          <t>-</t>
        </is>
      </c>
    </row>
    <row r="23">
      <c r="B23" s="40" t="inlineStr">
        <is>
          <t>Apr 2025</t>
        </is>
      </c>
      <c r="C23" s="3" t="inlineStr">
        <is>
          <t>-</t>
        </is>
      </c>
      <c r="D23" s="7">
        <f>AVERAGE(G20:G22)</f>
        <v/>
      </c>
      <c r="E23" s="3" t="inlineStr">
        <is>
          <t>-</t>
        </is>
      </c>
      <c r="F23" s="6">
        <f>AVERAGE($F$7:$F$17)</f>
        <v/>
      </c>
      <c r="G23" s="41">
        <f>G22*(1+F23)</f>
        <v/>
      </c>
      <c r="H23" s="3" t="inlineStr">
        <is>
          <t>-</t>
        </is>
      </c>
    </row>
    <row r="24">
      <c r="B24" s="40" t="inlineStr">
        <is>
          <t>May 2025</t>
        </is>
      </c>
      <c r="C24" s="3" t="inlineStr">
        <is>
          <t>-</t>
        </is>
      </c>
      <c r="D24" s="7">
        <f>AVERAGE(G21:G23)</f>
        <v/>
      </c>
      <c r="E24" s="3" t="inlineStr">
        <is>
          <t>-</t>
        </is>
      </c>
      <c r="F24" s="6">
        <f>AVERAGE($F$7:$F$17)</f>
        <v/>
      </c>
      <c r="G24" s="41">
        <f>G23*(1+F24)</f>
        <v/>
      </c>
      <c r="H24" s="3" t="inlineStr">
        <is>
          <t>-</t>
        </is>
      </c>
    </row>
    <row r="25">
      <c r="B25" s="40" t="inlineStr">
        <is>
          <t>Jun 2025</t>
        </is>
      </c>
      <c r="C25" s="3" t="inlineStr">
        <is>
          <t>-</t>
        </is>
      </c>
      <c r="D25" s="7">
        <f>AVERAGE(G22:G24)</f>
        <v/>
      </c>
      <c r="E25" s="3" t="inlineStr">
        <is>
          <t>-</t>
        </is>
      </c>
      <c r="F25" s="6">
        <f>AVERAGE($F$7:$F$17)</f>
        <v/>
      </c>
      <c r="G25" s="41">
        <f>G24*(1+F25)</f>
        <v/>
      </c>
      <c r="H25" s="3" t="inlineStr">
        <is>
          <t>-</t>
        </is>
      </c>
    </row>
    <row r="28">
      <c r="B28" s="14" t="inlineStr">
        <is>
          <t>MODEL STATISTICS</t>
        </is>
      </c>
    </row>
    <row r="29">
      <c r="B29" s="3" t="inlineStr">
        <is>
          <t>Average Monthly Sales</t>
        </is>
      </c>
      <c r="C29" s="18">
        <f>AVERAGE(C6:C17)</f>
        <v/>
      </c>
    </row>
    <row r="30">
      <c r="B30" s="3" t="inlineStr">
        <is>
          <t>Maximum Monthly Sales</t>
        </is>
      </c>
      <c r="C30" s="18">
        <f>MAX(C6:C17)</f>
        <v/>
      </c>
    </row>
    <row r="31">
      <c r="B31" s="3" t="inlineStr">
        <is>
          <t>Minimum Monthly Sales</t>
        </is>
      </c>
      <c r="C31" s="18">
        <f>MIN(C6:C17)</f>
        <v/>
      </c>
    </row>
    <row r="32">
      <c r="B32" s="3" t="inlineStr">
        <is>
          <t>Average Growth Rate</t>
        </is>
      </c>
      <c r="C32" s="23">
        <f>AVERAGE(F7:F17)</f>
        <v/>
      </c>
    </row>
    <row r="33">
      <c r="B33" s="3" t="inlineStr">
        <is>
          <t>Total Annual Sales</t>
        </is>
      </c>
      <c r="C33" s="18">
        <f>SUM(C6:C17)</f>
        <v/>
      </c>
    </row>
    <row r="34">
      <c r="B34" s="3" t="inlineStr">
        <is>
          <t>Forecasted H1 2025</t>
        </is>
      </c>
      <c r="C34" s="18">
        <f>SUM(G20:G25)</f>
        <v/>
      </c>
    </row>
    <row r="36">
      <c r="B36" t="inlineStr">
        <is>
          <t>Forecast Confidence</t>
        </is>
      </c>
      <c r="C36" s="42" t="inlineStr">
        <is>
          <t>Medium-High</t>
        </is>
      </c>
    </row>
  </sheetData>
  <mergeCells count="3">
    <mergeCell ref="B28:D28"/>
    <mergeCell ref="B19:H19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2026-01-04T00:04:25Z</dcterms:created>
  <dcterms:modified xmlns:dcterms="http://purl.org/dc/terms/" xmlns:xsi="http://www.w3.org/2001/XMLSchema-instance" xsi:type="dcterms:W3CDTF">2026-01-04T00:04:25Z</dcterms:modified>
</cp:coreProperties>
</file>